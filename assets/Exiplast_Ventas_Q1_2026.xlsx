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as Q1 2026" sheetId="1" state="visible" r:id="rId3"/>
    <sheet name="Catálogo Productos" sheetId="2" state="visible" r:id="rId4"/>
    <sheet name="Clientes" sheetId="3" state="visible" r:id="rId5"/>
    <sheet name="Dashboard Q1" sheetId="4" state="visible" r:id="rId6"/>
  </sheets>
  <definedNames>
    <definedName function="false" hidden="true" localSheetId="0" name="_xlnm._FilterDatabase" vbProcedure="false">'Ventas Q1 2026'!$A$1:$V$336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<sst xmlns="http://schemas.openxmlformats.org/spreadsheetml/2006/main" count="5319" uniqueCount="519">
  <si>
    <t xml:space="preserve">Fecha</t>
  </si>
  <si>
    <t xml:space="preserve">N° Factura</t>
  </si>
  <si>
    <t xml:space="preserve">Cód. Cliente</t>
  </si>
  <si>
    <t xml:space="preserve">Cliente</t>
  </si>
  <si>
    <t xml:space="preserve">Tipo Cliente</t>
  </si>
  <si>
    <t xml:space="preserve">Ciudad</t>
  </si>
  <si>
    <t xml:space="preserve">Segmento</t>
  </si>
  <si>
    <t xml:space="preserve">Cód. Vendedor</t>
  </si>
  <si>
    <t xml:space="preserve">Vendedor</t>
  </si>
  <si>
    <t xml:space="preserve">Zona</t>
  </si>
  <si>
    <t xml:space="preserve">SKU</t>
  </si>
  <si>
    <t xml:space="preserve">Producto</t>
  </si>
  <si>
    <t xml:space="preserve">Línea</t>
  </si>
  <si>
    <t xml:space="preserve">Categoría</t>
  </si>
  <si>
    <t xml:space="preserve">Cantidad</t>
  </si>
  <si>
    <t xml:space="preserve">Unidad</t>
  </si>
  <si>
    <t xml:space="preserve">Precio Unit. (COP)</t>
  </si>
  <si>
    <t xml:space="preserve">% Descuento</t>
  </si>
  <si>
    <t xml:space="preserve">Subtotal (COP)</t>
  </si>
  <si>
    <t xml:space="preserve">Descuento (COP)</t>
  </si>
  <si>
    <t xml:space="preserve">Total Venta (COP)</t>
  </si>
  <si>
    <t xml:space="preserve">Canal</t>
  </si>
  <si>
    <t xml:space="preserve">FE-2026-100542</t>
  </si>
  <si>
    <t xml:space="preserve">CL-006</t>
  </si>
  <si>
    <t xml:space="preserve">Ferretería La Campana</t>
  </si>
  <si>
    <t xml:space="preserve">Red DAR</t>
  </si>
  <si>
    <t xml:space="preserve">Cali</t>
  </si>
  <si>
    <t xml:space="preserve">Distribuidor</t>
  </si>
  <si>
    <t xml:space="preserve">VD-04</t>
  </si>
  <si>
    <t xml:space="preserve">Felipe Ortiz</t>
  </si>
  <si>
    <t xml:space="preserve">Red DAR - Costa</t>
  </si>
  <si>
    <t xml:space="preserve">ACC-CAB-LUX</t>
  </si>
  <si>
    <t xml:space="preserve">Caballete Luxzo Premium</t>
  </si>
  <si>
    <t xml:space="preserve">Accesorios</t>
  </si>
  <si>
    <t xml:space="preserve">und</t>
  </si>
  <si>
    <t xml:space="preserve">Mayorista</t>
  </si>
  <si>
    <t xml:space="preserve">FE-2026-100452</t>
  </si>
  <si>
    <t xml:space="preserve">CL-004</t>
  </si>
  <si>
    <t xml:space="preserve">Homecenter Colombia</t>
  </si>
  <si>
    <t xml:space="preserve">Retail</t>
  </si>
  <si>
    <t xml:space="preserve">Bogotá</t>
  </si>
  <si>
    <t xml:space="preserve">VD-01</t>
  </si>
  <si>
    <t xml:space="preserve">Carolina Mejía</t>
  </si>
  <si>
    <t xml:space="preserve">Cuenta Clave - Centro</t>
  </si>
  <si>
    <t xml:space="preserve">LUX-WALL-U</t>
  </si>
  <si>
    <t xml:space="preserve">LuxzoWall U - Panel Envolvente</t>
  </si>
  <si>
    <t xml:space="preserve">Luxzo</t>
  </si>
  <si>
    <t xml:space="preserve">Envolvente Fachada</t>
  </si>
  <si>
    <t xml:space="preserve">m²</t>
  </si>
  <si>
    <t xml:space="preserve">FE-2026-100480</t>
  </si>
  <si>
    <t xml:space="preserve">CL-010</t>
  </si>
  <si>
    <t xml:space="preserve">Distribuidora del Caribe</t>
  </si>
  <si>
    <t xml:space="preserve">Barranquilla</t>
  </si>
  <si>
    <t xml:space="preserve">VD-07</t>
  </si>
  <si>
    <t xml:space="preserve">Laura Quintero</t>
  </si>
  <si>
    <t xml:space="preserve">Red DAR - Eje Cafetero</t>
  </si>
  <si>
    <t xml:space="preserve">TJL-DUR-110</t>
  </si>
  <si>
    <t xml:space="preserve">Teja Duraluz Translúcida 1.1m</t>
  </si>
  <si>
    <t xml:space="preserve">Duraluz</t>
  </si>
  <si>
    <t xml:space="preserve">Teja Translúcida</t>
  </si>
  <si>
    <t xml:space="preserve">FE-2026-100513</t>
  </si>
  <si>
    <t xml:space="preserve">CL-015</t>
  </si>
  <si>
    <t xml:space="preserve">Mario Hincapié Distribuciones</t>
  </si>
  <si>
    <t xml:space="preserve">Manizales</t>
  </si>
  <si>
    <t xml:space="preserve">ACC-FIJ-KIT</t>
  </si>
  <si>
    <t xml:space="preserve">Kit Fijación Tornillería Inox</t>
  </si>
  <si>
    <t xml:space="preserve">kit</t>
  </si>
  <si>
    <t xml:space="preserve">FE-2026-100529</t>
  </si>
  <si>
    <t xml:space="preserve">VD-02</t>
  </si>
  <si>
    <t xml:space="preserve">Andrés Ramírez</t>
  </si>
  <si>
    <t xml:space="preserve">Cuenta Clave - Antioquia</t>
  </si>
  <si>
    <t xml:space="preserve">LUX-WALL-D</t>
  </si>
  <si>
    <t xml:space="preserve">LuxzoWall D - Panel Envolvente</t>
  </si>
  <si>
    <t xml:space="preserve">FE-2026-100488</t>
  </si>
  <si>
    <t xml:space="preserve">CL-020</t>
  </si>
  <si>
    <t xml:space="preserve">Coomeva Constructora</t>
  </si>
  <si>
    <t xml:space="preserve">Proyecto Directo</t>
  </si>
  <si>
    <t xml:space="preserve">Constructora</t>
  </si>
  <si>
    <t xml:space="preserve">VD-06</t>
  </si>
  <si>
    <t xml:space="preserve">Sebastián Gómez</t>
  </si>
  <si>
    <t xml:space="preserve">Proyectos - Construcción</t>
  </si>
  <si>
    <t xml:space="preserve">Directo</t>
  </si>
  <si>
    <t xml:space="preserve">FE-2026-100521</t>
  </si>
  <si>
    <t xml:space="preserve">CL-008</t>
  </si>
  <si>
    <t xml:space="preserve">Industrias Haceb S.A.S.</t>
  </si>
  <si>
    <t xml:space="preserve">Medellín</t>
  </si>
  <si>
    <t xml:space="preserve">Industrial</t>
  </si>
  <si>
    <t xml:space="preserve">VD-05</t>
  </si>
  <si>
    <t xml:space="preserve">Mónica Vélez</t>
  </si>
  <si>
    <t xml:space="preserve">Proyectos - Industrial</t>
  </si>
  <si>
    <t xml:space="preserve">TJL-TLZ-TRM</t>
  </si>
  <si>
    <t xml:space="preserve">Teja Tejaluz Termoselectiva</t>
  </si>
  <si>
    <t xml:space="preserve">Tejaluz</t>
  </si>
  <si>
    <t xml:space="preserve">FE-2026-100457</t>
  </si>
  <si>
    <t xml:space="preserve">CL-005</t>
  </si>
  <si>
    <t xml:space="preserve">Centro Comercial Único Bucaramanga</t>
  </si>
  <si>
    <t xml:space="preserve">Bucaramanga</t>
  </si>
  <si>
    <t xml:space="preserve">Centro Comercial</t>
  </si>
  <si>
    <t xml:space="preserve">LUX-WALL-Z</t>
  </si>
  <si>
    <t xml:space="preserve">LuxzoWall Z - Panel Envolvente</t>
  </si>
  <si>
    <t xml:space="preserve">FE-2026-100503</t>
  </si>
  <si>
    <t xml:space="preserve">CL-017</t>
  </si>
  <si>
    <t xml:space="preserve">Ferretería Tornimax</t>
  </si>
  <si>
    <t xml:space="preserve">FE-2026-100508</t>
  </si>
  <si>
    <t xml:space="preserve">CL-019</t>
  </si>
  <si>
    <t xml:space="preserve">Distribuidora Llanos Orientales</t>
  </si>
  <si>
    <t xml:space="preserve">Villavicencio</t>
  </si>
  <si>
    <t xml:space="preserve">FE-2026-100519</t>
  </si>
  <si>
    <t xml:space="preserve">LAM-PLN-RTF</t>
  </si>
  <si>
    <t xml:space="preserve">Lámina Plana Retardante al Fuego</t>
  </si>
  <si>
    <t xml:space="preserve">Especial</t>
  </si>
  <si>
    <t xml:space="preserve">Lámina Plana</t>
  </si>
  <si>
    <t xml:space="preserve">FE-2026-100468</t>
  </si>
  <si>
    <t xml:space="preserve">CL-003</t>
  </si>
  <si>
    <t xml:space="preserve">Distribuidora Ferretera Andina</t>
  </si>
  <si>
    <t xml:space="preserve">TJL-TLZ-OPC</t>
  </si>
  <si>
    <t xml:space="preserve">Teja Tejaluz Opaca PRFV</t>
  </si>
  <si>
    <t xml:space="preserve">Teja Opaca</t>
  </si>
  <si>
    <t xml:space="preserve">FE-2026-100473</t>
  </si>
  <si>
    <t xml:space="preserve">ACC-SLD-UPV</t>
  </si>
  <si>
    <t xml:space="preserve">Sellante UPV Profesional</t>
  </si>
  <si>
    <t xml:space="preserve">FE-2026-100489</t>
  </si>
  <si>
    <t xml:space="preserve">CL-009</t>
  </si>
  <si>
    <t xml:space="preserve">Bavaria S.A. - Planta Tocancipá</t>
  </si>
  <si>
    <t xml:space="preserve">Tocancipá</t>
  </si>
  <si>
    <t xml:space="preserve">FE-2026-100490</t>
  </si>
  <si>
    <t xml:space="preserve">CL-001</t>
  </si>
  <si>
    <t xml:space="preserve">Constructora Bolívar S.A.</t>
  </si>
  <si>
    <t xml:space="preserve">TJL-GIP-110</t>
  </si>
  <si>
    <t xml:space="preserve">Teja GIP Antigranizo 1.1m</t>
  </si>
  <si>
    <t xml:space="preserve">GIP</t>
  </si>
  <si>
    <t xml:space="preserve">Teja Antigranizo</t>
  </si>
  <si>
    <t xml:space="preserve">FE-2026-100494</t>
  </si>
  <si>
    <t xml:space="preserve">VD-03</t>
  </si>
  <si>
    <t xml:space="preserve">Juliana Castro</t>
  </si>
  <si>
    <t xml:space="preserve">Red DAR - Centro</t>
  </si>
  <si>
    <t xml:space="preserve">FE-2026-100527</t>
  </si>
  <si>
    <t xml:space="preserve">CL-002</t>
  </si>
  <si>
    <t xml:space="preserve">Amarilo S.A.S.</t>
  </si>
  <si>
    <t xml:space="preserve">FE-2026-100492</t>
  </si>
  <si>
    <t xml:space="preserve">FE-2026-100524</t>
  </si>
  <si>
    <t xml:space="preserve">CL-013</t>
  </si>
  <si>
    <t xml:space="preserve">Ferretería El Constructor</t>
  </si>
  <si>
    <t xml:space="preserve">Pereira</t>
  </si>
  <si>
    <t xml:space="preserve">LAM-PLN-ATV</t>
  </si>
  <si>
    <t xml:space="preserve">Lámina Plana Antivirus PRFV</t>
  </si>
  <si>
    <t xml:space="preserve">Antivirus</t>
  </si>
  <si>
    <t xml:space="preserve">FE-2026-100464</t>
  </si>
  <si>
    <t xml:space="preserve">TJL-GIP-090</t>
  </si>
  <si>
    <t xml:space="preserve">Teja GIP Antigranizo 0.9m</t>
  </si>
  <si>
    <t xml:space="preserve">FE-2026-100497</t>
  </si>
  <si>
    <t xml:space="preserve">CL-014</t>
  </si>
  <si>
    <t xml:space="preserve">Grupo Argos - Cementos</t>
  </si>
  <si>
    <t xml:space="preserve">Cartagena</t>
  </si>
  <si>
    <t xml:space="preserve">FE-2026-100511</t>
  </si>
  <si>
    <t xml:space="preserve">FE-2026-100515</t>
  </si>
  <si>
    <t xml:space="preserve">CL-016</t>
  </si>
  <si>
    <t xml:space="preserve">Cusezar S.A.</t>
  </si>
  <si>
    <t xml:space="preserve">FE-2026-100516</t>
  </si>
  <si>
    <t xml:space="preserve">FE-2026-100532</t>
  </si>
  <si>
    <t xml:space="preserve">FE-2026-100463</t>
  </si>
  <si>
    <t xml:space="preserve">FE-2026-100475</t>
  </si>
  <si>
    <t xml:space="preserve">TJL-DUR-090</t>
  </si>
  <si>
    <t xml:space="preserve">Teja Duraluz Translúcida 0.9m</t>
  </si>
  <si>
    <t xml:space="preserve">FE-2026-100481</t>
  </si>
  <si>
    <t xml:space="preserve">CL-018</t>
  </si>
  <si>
    <t xml:space="preserve">Parque Industrial Santo Domingo</t>
  </si>
  <si>
    <t xml:space="preserve">Tenjo</t>
  </si>
  <si>
    <t xml:space="preserve">FE-2026-100486</t>
  </si>
  <si>
    <t xml:space="preserve">FE-2026-100462</t>
  </si>
  <si>
    <t xml:space="preserve">FE-2026-100477</t>
  </si>
  <si>
    <t xml:space="preserve">FE-2026-100482</t>
  </si>
  <si>
    <t xml:space="preserve">FE-2026-100504</t>
  </si>
  <si>
    <t xml:space="preserve">CL-012</t>
  </si>
  <si>
    <t xml:space="preserve">Mall Plaza Colombia</t>
  </si>
  <si>
    <t xml:space="preserve">FE-2026-100514</t>
  </si>
  <si>
    <t xml:space="preserve">FE-2026-100536</t>
  </si>
  <si>
    <t xml:space="preserve">FE-2026-100471</t>
  </si>
  <si>
    <t xml:space="preserve">FE-2026-100501</t>
  </si>
  <si>
    <t xml:space="preserve">FE-2026-100510</t>
  </si>
  <si>
    <t xml:space="preserve">FE-2026-100538</t>
  </si>
  <si>
    <t xml:space="preserve">FE-2026-100460</t>
  </si>
  <si>
    <t xml:space="preserve">FE-2026-100517</t>
  </si>
  <si>
    <t xml:space="preserve">FE-2026-100459</t>
  </si>
  <si>
    <t xml:space="preserve">FE-2026-100469</t>
  </si>
  <si>
    <t xml:space="preserve">FE-2026-100531</t>
  </si>
  <si>
    <t xml:space="preserve">FE-2026-100539</t>
  </si>
  <si>
    <t xml:space="preserve">FE-2026-100484</t>
  </si>
  <si>
    <t xml:space="preserve">CL-007</t>
  </si>
  <si>
    <t xml:space="preserve">Conconcreto S.A.</t>
  </si>
  <si>
    <t xml:space="preserve">FE-2026-100491</t>
  </si>
  <si>
    <t xml:space="preserve">FE-2026-100522</t>
  </si>
  <si>
    <t xml:space="preserve">LUX-ROOF-CK</t>
  </si>
  <si>
    <t xml:space="preserve">LuxzoRoof Click - Cubierta</t>
  </si>
  <si>
    <t xml:space="preserve">Cubierta Premium</t>
  </si>
  <si>
    <t xml:space="preserve">FE-2026-100525</t>
  </si>
  <si>
    <t xml:space="preserve">FE-2026-100487</t>
  </si>
  <si>
    <t xml:space="preserve">FE-2026-100499</t>
  </si>
  <si>
    <t xml:space="preserve">FE-2026-100526</t>
  </si>
  <si>
    <t xml:space="preserve">FE-2026-100530</t>
  </si>
  <si>
    <t xml:space="preserve">FE-2026-100472</t>
  </si>
  <si>
    <t xml:space="preserve">FE-2026-100500</t>
  </si>
  <si>
    <t xml:space="preserve">FE-2026-100505</t>
  </si>
  <si>
    <t xml:space="preserve">FE-2026-100523</t>
  </si>
  <si>
    <t xml:space="preserve">FE-2026-100543</t>
  </si>
  <si>
    <t xml:space="preserve">FE-2026-100540</t>
  </si>
  <si>
    <t xml:space="preserve">FE-2026-100496</t>
  </si>
  <si>
    <t xml:space="preserve">FE-2026-100533</t>
  </si>
  <si>
    <t xml:space="preserve">FE-2026-100456</t>
  </si>
  <si>
    <t xml:space="preserve">FE-2026-100461</t>
  </si>
  <si>
    <t xml:space="preserve">FE-2026-100474</t>
  </si>
  <si>
    <t xml:space="preserve">FE-2026-100520</t>
  </si>
  <si>
    <t xml:space="preserve">FE-2026-100450</t>
  </si>
  <si>
    <t xml:space="preserve">FE-2026-100485</t>
  </si>
  <si>
    <t xml:space="preserve">FE-2026-100537</t>
  </si>
  <si>
    <t xml:space="preserve">FE-2026-100458</t>
  </si>
  <si>
    <t xml:space="preserve">FE-2026-100470</t>
  </si>
  <si>
    <t xml:space="preserve">FE-2026-100495</t>
  </si>
  <si>
    <t xml:space="preserve">FE-2026-100498</t>
  </si>
  <si>
    <t xml:space="preserve">FE-2026-100544</t>
  </si>
  <si>
    <t xml:space="preserve">FE-2026-100451</t>
  </si>
  <si>
    <t xml:space="preserve">FE-2026-100453</t>
  </si>
  <si>
    <t xml:space="preserve">FE-2026-100478</t>
  </si>
  <si>
    <t xml:space="preserve">FE-2026-100454</t>
  </si>
  <si>
    <t xml:space="preserve">FE-2026-100466</t>
  </si>
  <si>
    <t xml:space="preserve">FE-2026-100493</t>
  </si>
  <si>
    <t xml:space="preserve">FE-2026-100483</t>
  </si>
  <si>
    <t xml:space="preserve">FE-2026-100528</t>
  </si>
  <si>
    <t xml:space="preserve">FE-2026-100506</t>
  </si>
  <si>
    <t xml:space="preserve">FE-2026-100509</t>
  </si>
  <si>
    <t xml:space="preserve">CL-011</t>
  </si>
  <si>
    <t xml:space="preserve">Postobón S.A. - Planta Yumbo</t>
  </si>
  <si>
    <t xml:space="preserve">Yumbo</t>
  </si>
  <si>
    <t xml:space="preserve">FE-2026-100535</t>
  </si>
  <si>
    <t xml:space="preserve">FE-2026-100465</t>
  </si>
  <si>
    <t xml:space="preserve">FE-2026-100479</t>
  </si>
  <si>
    <t xml:space="preserve">FE-2026-100541</t>
  </si>
  <si>
    <t xml:space="preserve">FE-2026-100518</t>
  </si>
  <si>
    <t xml:space="preserve">FE-2026-100534</t>
  </si>
  <si>
    <t xml:space="preserve">FE-2026-100455</t>
  </si>
  <si>
    <t xml:space="preserve">FE-2026-100467</t>
  </si>
  <si>
    <t xml:space="preserve">FE-2026-100476</t>
  </si>
  <si>
    <t xml:space="preserve">FE-2026-100502</t>
  </si>
  <si>
    <t xml:space="preserve">FE-2026-100507</t>
  </si>
  <si>
    <t xml:space="preserve">FE-2026-100512</t>
  </si>
  <si>
    <t xml:space="preserve">FE-2026-100627</t>
  </si>
  <si>
    <t xml:space="preserve">FE-2026-100651</t>
  </si>
  <si>
    <t xml:space="preserve">FE-2026-100583</t>
  </si>
  <si>
    <t xml:space="preserve">FE-2026-100595</t>
  </si>
  <si>
    <t xml:space="preserve">FE-2026-100586</t>
  </si>
  <si>
    <t xml:space="preserve">FE-2026-100647</t>
  </si>
  <si>
    <t xml:space="preserve">FE-2026-100653</t>
  </si>
  <si>
    <t xml:space="preserve">FE-2026-100577</t>
  </si>
  <si>
    <t xml:space="preserve">FE-2026-100582</t>
  </si>
  <si>
    <t xml:space="preserve">FE-2026-100614</t>
  </si>
  <si>
    <t xml:space="preserve">FE-2026-100616</t>
  </si>
  <si>
    <t xml:space="preserve">FE-2026-100636</t>
  </si>
  <si>
    <t xml:space="preserve">FE-2026-100585</t>
  </si>
  <si>
    <t xml:space="preserve">FE-2026-100641</t>
  </si>
  <si>
    <t xml:space="preserve">FE-2026-100587</t>
  </si>
  <si>
    <t xml:space="preserve">FE-2026-100635</t>
  </si>
  <si>
    <t xml:space="preserve">FE-2026-100600</t>
  </si>
  <si>
    <t xml:space="preserve">FE-2026-100603</t>
  </si>
  <si>
    <t xml:space="preserve">FE-2026-100646</t>
  </si>
  <si>
    <t xml:space="preserve">FE-2026-100652</t>
  </si>
  <si>
    <t xml:space="preserve">FE-2026-100629</t>
  </si>
  <si>
    <t xml:space="preserve">FE-2026-100639</t>
  </si>
  <si>
    <t xml:space="preserve">FE-2026-100622</t>
  </si>
  <si>
    <t xml:space="preserve">FE-2026-100564</t>
  </si>
  <si>
    <t xml:space="preserve">FE-2026-100589</t>
  </si>
  <si>
    <t xml:space="preserve">FE-2026-100631</t>
  </si>
  <si>
    <t xml:space="preserve">FE-2026-100547</t>
  </si>
  <si>
    <t xml:space="preserve">FE-2026-100557</t>
  </si>
  <si>
    <t xml:space="preserve">FE-2026-100558</t>
  </si>
  <si>
    <t xml:space="preserve">FE-2026-100569</t>
  </si>
  <si>
    <t xml:space="preserve">FE-2026-100593</t>
  </si>
  <si>
    <t xml:space="preserve">FE-2026-100604</t>
  </si>
  <si>
    <t xml:space="preserve">FE-2026-100619</t>
  </si>
  <si>
    <t xml:space="preserve">FE-2026-100637</t>
  </si>
  <si>
    <t xml:space="preserve">FE-2026-100594</t>
  </si>
  <si>
    <t xml:space="preserve">FE-2026-100597</t>
  </si>
  <si>
    <t xml:space="preserve">FE-2026-100602</t>
  </si>
  <si>
    <t xml:space="preserve">FE-2026-100552</t>
  </si>
  <si>
    <t xml:space="preserve">FE-2026-100579</t>
  </si>
  <si>
    <t xml:space="preserve">FE-2026-100598</t>
  </si>
  <si>
    <t xml:space="preserve">FE-2026-100599</t>
  </si>
  <si>
    <t xml:space="preserve">FE-2026-100601</t>
  </si>
  <si>
    <t xml:space="preserve">FE-2026-100606</t>
  </si>
  <si>
    <t xml:space="preserve">FE-2026-100563</t>
  </si>
  <si>
    <t xml:space="preserve">FE-2026-100575</t>
  </si>
  <si>
    <t xml:space="preserve">FE-2026-100610</t>
  </si>
  <si>
    <t xml:space="preserve">FE-2026-100613</t>
  </si>
  <si>
    <t xml:space="preserve">FE-2026-100621</t>
  </si>
  <si>
    <t xml:space="preserve">FE-2026-100654</t>
  </si>
  <si>
    <t xml:space="preserve">FE-2026-100565</t>
  </si>
  <si>
    <t xml:space="preserve">FE-2026-100573</t>
  </si>
  <si>
    <t xml:space="preserve">FE-2026-100588</t>
  </si>
  <si>
    <t xml:space="preserve">FE-2026-100623</t>
  </si>
  <si>
    <t xml:space="preserve">FE-2026-100633</t>
  </si>
  <si>
    <t xml:space="preserve">FE-2026-100554</t>
  </si>
  <si>
    <t xml:space="preserve">FE-2026-100580</t>
  </si>
  <si>
    <t xml:space="preserve">FE-2026-100590</t>
  </si>
  <si>
    <t xml:space="preserve">FE-2026-100626</t>
  </si>
  <si>
    <t xml:space="preserve">FE-2026-100551</t>
  </si>
  <si>
    <t xml:space="preserve">FE-2026-100581</t>
  </si>
  <si>
    <t xml:space="preserve">FE-2026-100615</t>
  </si>
  <si>
    <t xml:space="preserve">FE-2026-100546</t>
  </si>
  <si>
    <t xml:space="preserve">FE-2026-100568</t>
  </si>
  <si>
    <t xml:space="preserve">FE-2026-100574</t>
  </si>
  <si>
    <t xml:space="preserve">FE-2026-100624</t>
  </si>
  <si>
    <t xml:space="preserve">FE-2026-100640</t>
  </si>
  <si>
    <t xml:space="preserve">FE-2026-100643</t>
  </si>
  <si>
    <t xml:space="preserve">FE-2026-100559</t>
  </si>
  <si>
    <t xml:space="preserve">FE-2026-100584</t>
  </si>
  <si>
    <t xml:space="preserve">FE-2026-100618</t>
  </si>
  <si>
    <t xml:space="preserve">FE-2026-100620</t>
  </si>
  <si>
    <t xml:space="preserve">FE-2026-100630</t>
  </si>
  <si>
    <t xml:space="preserve">FE-2026-100638</t>
  </si>
  <si>
    <t xml:space="preserve">FE-2026-100644</t>
  </si>
  <si>
    <t xml:space="preserve">FE-2026-100548</t>
  </si>
  <si>
    <t xml:space="preserve">FE-2026-100549</t>
  </si>
  <si>
    <t xml:space="preserve">FE-2026-100553</t>
  </si>
  <si>
    <t xml:space="preserve">FE-2026-100562</t>
  </si>
  <si>
    <t xml:space="preserve">FE-2026-100566</t>
  </si>
  <si>
    <t xml:space="preserve">FE-2026-100570</t>
  </si>
  <si>
    <t xml:space="preserve">FE-2026-100571</t>
  </si>
  <si>
    <t xml:space="preserve">FE-2026-100605</t>
  </si>
  <si>
    <t xml:space="preserve">FE-2026-100612</t>
  </si>
  <si>
    <t xml:space="preserve">FE-2026-100550</t>
  </si>
  <si>
    <t xml:space="preserve">FE-2026-100567</t>
  </si>
  <si>
    <t xml:space="preserve">FE-2026-100591</t>
  </si>
  <si>
    <t xml:space="preserve">FE-2026-100649</t>
  </si>
  <si>
    <t xml:space="preserve">FE-2026-100556</t>
  </si>
  <si>
    <t xml:space="preserve">FE-2026-100560</t>
  </si>
  <si>
    <t xml:space="preserve">FE-2026-100561</t>
  </si>
  <si>
    <t xml:space="preserve">FE-2026-100572</t>
  </si>
  <si>
    <t xml:space="preserve">FE-2026-100628</t>
  </si>
  <si>
    <t xml:space="preserve">FE-2026-100648</t>
  </si>
  <si>
    <t xml:space="preserve">FE-2026-100596</t>
  </si>
  <si>
    <t xml:space="preserve">FE-2026-100608</t>
  </si>
  <si>
    <t xml:space="preserve">FE-2026-100611</t>
  </si>
  <si>
    <t xml:space="preserve">FE-2026-100555</t>
  </si>
  <si>
    <t xml:space="preserve">FE-2026-100576</t>
  </si>
  <si>
    <t xml:space="preserve">FE-2026-100607</t>
  </si>
  <si>
    <t xml:space="preserve">FE-2026-100609</t>
  </si>
  <si>
    <t xml:space="preserve">FE-2026-100632</t>
  </si>
  <si>
    <t xml:space="preserve">FE-2026-100642</t>
  </si>
  <si>
    <t xml:space="preserve">FE-2026-100545</t>
  </si>
  <si>
    <t xml:space="preserve">FE-2026-100578</t>
  </si>
  <si>
    <t xml:space="preserve">FE-2026-100592</t>
  </si>
  <si>
    <t xml:space="preserve">FE-2026-100617</t>
  </si>
  <si>
    <t xml:space="preserve">FE-2026-100625</t>
  </si>
  <si>
    <t xml:space="preserve">FE-2026-100634</t>
  </si>
  <si>
    <t xml:space="preserve">FE-2026-100645</t>
  </si>
  <si>
    <t xml:space="preserve">FE-2026-100650</t>
  </si>
  <si>
    <t xml:space="preserve">FE-2026-100727</t>
  </si>
  <si>
    <t xml:space="preserve">FE-2026-100735</t>
  </si>
  <si>
    <t xml:space="preserve">FE-2026-100745</t>
  </si>
  <si>
    <t xml:space="preserve">FE-2026-100693</t>
  </si>
  <si>
    <t xml:space="preserve">FE-2026-100710</t>
  </si>
  <si>
    <t xml:space="preserve">FE-2026-100721</t>
  </si>
  <si>
    <t xml:space="preserve">FE-2026-100742</t>
  </si>
  <si>
    <t xml:space="preserve">FE-2026-100700</t>
  </si>
  <si>
    <t xml:space="preserve">FE-2026-100707</t>
  </si>
  <si>
    <t xml:space="preserve">FE-2026-100728</t>
  </si>
  <si>
    <t xml:space="preserve">FE-2026-100769</t>
  </si>
  <si>
    <t xml:space="preserve">FE-2026-100679</t>
  </si>
  <si>
    <t xml:space="preserve">FE-2026-100696</t>
  </si>
  <si>
    <t xml:space="preserve">FE-2026-100751</t>
  </si>
  <si>
    <t xml:space="preserve">FE-2026-100772</t>
  </si>
  <si>
    <t xml:space="preserve">FE-2026-100715</t>
  </si>
  <si>
    <t xml:space="preserve">FE-2026-100731</t>
  </si>
  <si>
    <t xml:space="preserve">FE-2026-100758</t>
  </si>
  <si>
    <t xml:space="preserve">FE-2026-100759</t>
  </si>
  <si>
    <t xml:space="preserve">FE-2026-100771</t>
  </si>
  <si>
    <t xml:space="preserve">FE-2026-100783</t>
  </si>
  <si>
    <t xml:space="preserve">FE-2026-100674</t>
  </si>
  <si>
    <t xml:space="preserve">FE-2026-100691</t>
  </si>
  <si>
    <t xml:space="preserve">FE-2026-100709</t>
  </si>
  <si>
    <t xml:space="preserve">FE-2026-100761</t>
  </si>
  <si>
    <t xml:space="preserve">FE-2026-100689</t>
  </si>
  <si>
    <t xml:space="preserve">FE-2026-100706</t>
  </si>
  <si>
    <t xml:space="preserve">FE-2026-100667</t>
  </si>
  <si>
    <t xml:space="preserve">FE-2026-100677</t>
  </si>
  <si>
    <t xml:space="preserve">FE-2026-100766</t>
  </si>
  <si>
    <t xml:space="preserve">FE-2026-100688</t>
  </si>
  <si>
    <t xml:space="preserve">FE-2026-100719</t>
  </si>
  <si>
    <t xml:space="preserve">FE-2026-100736</t>
  </si>
  <si>
    <t xml:space="preserve">FE-2026-100657</t>
  </si>
  <si>
    <t xml:space="preserve">FE-2026-100673</t>
  </si>
  <si>
    <t xml:space="preserve">FE-2026-100686</t>
  </si>
  <si>
    <t xml:space="preserve">FE-2026-100695</t>
  </si>
  <si>
    <t xml:space="preserve">FE-2026-100740</t>
  </si>
  <si>
    <t xml:space="preserve">FE-2026-100748</t>
  </si>
  <si>
    <t xml:space="preserve">FE-2026-100784</t>
  </si>
  <si>
    <t xml:space="preserve">FE-2026-100738</t>
  </si>
  <si>
    <t xml:space="preserve">FE-2026-100747</t>
  </si>
  <si>
    <t xml:space="preserve">FE-2026-100779</t>
  </si>
  <si>
    <t xml:space="preserve">FE-2026-100658</t>
  </si>
  <si>
    <t xml:space="preserve">FE-2026-100683</t>
  </si>
  <si>
    <t xml:space="preserve">FE-2026-100729</t>
  </si>
  <si>
    <t xml:space="preserve">FE-2026-100746</t>
  </si>
  <si>
    <t xml:space="preserve">FE-2026-100757</t>
  </si>
  <si>
    <t xml:space="preserve">FE-2026-100659</t>
  </si>
  <si>
    <t xml:space="preserve">FE-2026-100663</t>
  </si>
  <si>
    <t xml:space="preserve">FE-2026-100676</t>
  </si>
  <si>
    <t xml:space="preserve">FE-2026-100681</t>
  </si>
  <si>
    <t xml:space="preserve">FE-2026-100682</t>
  </si>
  <si>
    <t xml:space="preserve">FE-2026-100685</t>
  </si>
  <si>
    <t xml:space="preserve">FE-2026-100739</t>
  </si>
  <si>
    <t xml:space="preserve">FE-2026-100760</t>
  </si>
  <si>
    <t xml:space="preserve">FE-2026-100655</t>
  </si>
  <si>
    <t xml:space="preserve">FE-2026-100660</t>
  </si>
  <si>
    <t xml:space="preserve">FE-2026-100694</t>
  </si>
  <si>
    <t xml:space="preserve">FE-2026-100717</t>
  </si>
  <si>
    <t xml:space="preserve">FE-2026-100722</t>
  </si>
  <si>
    <t xml:space="preserve">FE-2026-100737</t>
  </si>
  <si>
    <t xml:space="preserve">FE-2026-100750</t>
  </si>
  <si>
    <t xml:space="preserve">FE-2026-100776</t>
  </si>
  <si>
    <t xml:space="preserve">FE-2026-100714</t>
  </si>
  <si>
    <t xml:space="preserve">FE-2026-100764</t>
  </si>
  <si>
    <t xml:space="preserve">FE-2026-100775</t>
  </si>
  <si>
    <t xml:space="preserve">FE-2026-100680</t>
  </si>
  <si>
    <t xml:space="preserve">FE-2026-100698</t>
  </si>
  <si>
    <t xml:space="preserve">FE-2026-100726</t>
  </si>
  <si>
    <t xml:space="preserve">FE-2026-100744</t>
  </si>
  <si>
    <t xml:space="preserve">FE-2026-100749</t>
  </si>
  <si>
    <t xml:space="preserve">FE-2026-100671</t>
  </si>
  <si>
    <t xml:space="preserve">FE-2026-100780</t>
  </si>
  <si>
    <t xml:space="preserve">FE-2026-100664</t>
  </si>
  <si>
    <t xml:space="preserve">FE-2026-100666</t>
  </si>
  <si>
    <t xml:space="preserve">FE-2026-100669</t>
  </si>
  <si>
    <t xml:space="preserve">FE-2026-100675</t>
  </si>
  <si>
    <t xml:space="preserve">FE-2026-100692</t>
  </si>
  <si>
    <t xml:space="preserve">FE-2026-100702</t>
  </si>
  <si>
    <t xml:space="preserve">FE-2026-100703</t>
  </si>
  <si>
    <t xml:space="preserve">FE-2026-100741</t>
  </si>
  <si>
    <t xml:space="preserve">FE-2026-100770</t>
  </si>
  <si>
    <t xml:space="preserve">FE-2026-100777</t>
  </si>
  <si>
    <t xml:space="preserve">FE-2026-100697</t>
  </si>
  <si>
    <t xml:space="preserve">FE-2026-100705</t>
  </si>
  <si>
    <t xml:space="preserve">FE-2026-100743</t>
  </si>
  <si>
    <t xml:space="preserve">FE-2026-100763</t>
  </si>
  <si>
    <t xml:space="preserve">FE-2026-100656</t>
  </si>
  <si>
    <t xml:space="preserve">FE-2026-100662</t>
  </si>
  <si>
    <t xml:space="preserve">FE-2026-100704</t>
  </si>
  <si>
    <t xml:space="preserve">FE-2026-100708</t>
  </si>
  <si>
    <t xml:space="preserve">FE-2026-100713</t>
  </si>
  <si>
    <t xml:space="preserve">FE-2026-100781</t>
  </si>
  <si>
    <t xml:space="preserve">FE-2026-100661</t>
  </si>
  <si>
    <t xml:space="preserve">FE-2026-100670</t>
  </si>
  <si>
    <t xml:space="preserve">FE-2026-100701</t>
  </si>
  <si>
    <t xml:space="preserve">FE-2026-100716</t>
  </si>
  <si>
    <t xml:space="preserve">FE-2026-100733</t>
  </si>
  <si>
    <t xml:space="preserve">FE-2026-100753</t>
  </si>
  <si>
    <t xml:space="preserve">FE-2026-100672</t>
  </si>
  <si>
    <t xml:space="preserve">FE-2026-100699</t>
  </si>
  <si>
    <t xml:space="preserve">FE-2026-100711</t>
  </si>
  <si>
    <t xml:space="preserve">FE-2026-100724</t>
  </si>
  <si>
    <t xml:space="preserve">FE-2026-100730</t>
  </si>
  <si>
    <t xml:space="preserve">FE-2026-100782</t>
  </si>
  <si>
    <t xml:space="preserve">FE-2026-100668</t>
  </si>
  <si>
    <t xml:space="preserve">FE-2026-100725</t>
  </si>
  <si>
    <t xml:space="preserve">FE-2026-100752</t>
  </si>
  <si>
    <t xml:space="preserve">FE-2026-100754</t>
  </si>
  <si>
    <t xml:space="preserve">FE-2026-100755</t>
  </si>
  <si>
    <t xml:space="preserve">FE-2026-100756</t>
  </si>
  <si>
    <t xml:space="preserve">FE-2026-100768</t>
  </si>
  <si>
    <t xml:space="preserve">FE-2026-100684</t>
  </si>
  <si>
    <t xml:space="preserve">FE-2026-100723</t>
  </si>
  <si>
    <t xml:space="preserve">FE-2026-100765</t>
  </si>
  <si>
    <t xml:space="preserve">FE-2026-100778</t>
  </si>
  <si>
    <t xml:space="preserve">FE-2026-100665</t>
  </si>
  <si>
    <t xml:space="preserve">FE-2026-100687</t>
  </si>
  <si>
    <t xml:space="preserve">FE-2026-100718</t>
  </si>
  <si>
    <t xml:space="preserve">FE-2026-100734</t>
  </si>
  <si>
    <t xml:space="preserve">FE-2026-100767</t>
  </si>
  <si>
    <t xml:space="preserve">FE-2026-100678</t>
  </si>
  <si>
    <t xml:space="preserve">FE-2026-100690</t>
  </si>
  <si>
    <t xml:space="preserve">FE-2026-100720</t>
  </si>
  <si>
    <t xml:space="preserve">FE-2026-100762</t>
  </si>
  <si>
    <t xml:space="preserve">FE-2026-100773</t>
  </si>
  <si>
    <t xml:space="preserve">FE-2026-100774</t>
  </si>
  <si>
    <t xml:space="preserve">FE-2026-100712</t>
  </si>
  <si>
    <t xml:space="preserve">FE-2026-100732</t>
  </si>
  <si>
    <t xml:space="preserve">Precio Lista (COP)</t>
  </si>
  <si>
    <t xml:space="preserve">Código</t>
  </si>
  <si>
    <t xml:space="preserve">Tipo</t>
  </si>
  <si>
    <t xml:space="preserve">EXIPLAST S.A.S. — DASHBOARD COMERCIAL Q1 2026</t>
  </si>
  <si>
    <t xml:space="preserve">Período: 01-Ene-2026 al 31-Mar-2026</t>
  </si>
  <si>
    <t xml:space="preserve">INDICADORES CLAVE (KPIs)</t>
  </si>
  <si>
    <t xml:space="preserve">Indicador</t>
  </si>
  <si>
    <t xml:space="preserve">Valor</t>
  </si>
  <si>
    <t xml:space="preserve">Ventas Totales (COP)</t>
  </si>
  <si>
    <t xml:space="preserve">Subtotal antes de Descuento (COP)</t>
  </si>
  <si>
    <t xml:space="preserve">Descuentos Otorgados (COP)</t>
  </si>
  <si>
    <t xml:space="preserve">% Descuento Promedio</t>
  </si>
  <si>
    <t xml:space="preserve">Cantidad de Facturas</t>
  </si>
  <si>
    <t xml:space="preserve">Ticket Promedio (COP)</t>
  </si>
  <si>
    <t xml:space="preserve">Unidades Vendidas (m²/und/kit)</t>
  </si>
  <si>
    <t xml:space="preserve">Clientes Únicos Atendidos</t>
  </si>
  <si>
    <t xml:space="preserve">VENTAS POR MES</t>
  </si>
  <si>
    <t xml:space="preserve">Mes</t>
  </si>
  <si>
    <t xml:space="preserve">Ventas (COP)</t>
  </si>
  <si>
    <t xml:space="preserve">N° Facturas</t>
  </si>
  <si>
    <t xml:space="preserve">Ticket Prom. (COP)</t>
  </si>
  <si>
    <t xml:space="preserve">Enero 2026</t>
  </si>
  <si>
    <t xml:space="preserve">Febrero 2026</t>
  </si>
  <si>
    <t xml:space="preserve">Marzo 2026</t>
  </si>
  <si>
    <t xml:space="preserve">TOTAL Q1</t>
  </si>
  <si>
    <t xml:space="preserve">TOP 5 PRODUCTOS POR VENTAS</t>
  </si>
  <si>
    <t xml:space="preserve">Unidades</t>
  </si>
  <si>
    <t xml:space="preserve">TOP 5 CLIENTES POR VENTAS</t>
  </si>
  <si>
    <t xml:space="preserve">% del Total</t>
  </si>
  <si>
    <t xml:space="preserve">VENTAS POR CANAL</t>
  </si>
  <si>
    <t xml:space="preserve">VENTAS POR VENDEDOR</t>
  </si>
  <si>
    <t xml:space="preserve">Ticket Prom.</t>
  </si>
  <si>
    <t xml:space="preserve">VENTAS POR CIUDAD</t>
  </si>
  <si>
    <t xml:space="preserve">VENTAS POR LÍNEA DE PRODUCTO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</si>
</sst>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"/>
    <numFmt numFmtId="167" formatCode="\$#,##0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9562C"/>
        <bgColor rgb="FF333333"/>
      </patternFill>
    </fill>
    <fill>
      <patternFill patternType="solid">
        <fgColor rgb="FF151716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9562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9562C"/>
      <rgbColor rgb="FF339966"/>
      <rgbColor rgb="FF151716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3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22"/>
    <col collapsed="false" customWidth="true" hidden="false" outlineLevel="0" max="10" min="10" style="0" width="26"/>
    <col collapsed="false" customWidth="true" hidden="false" outlineLevel="0" max="11" min="11" style="0" width="14"/>
    <col collapsed="false" customWidth="true" hidden="false" outlineLevel="0" max="12" min="12" style="0" width="32"/>
    <col collapsed="false" customWidth="true" hidden="false" outlineLevel="0" max="13" min="13" style="0" width="12"/>
    <col collapsed="false" customWidth="true" hidden="false" outlineLevel="0" max="14" min="14" style="0" width="20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6"/>
    <col collapsed="false" customWidth="true" hidden="false" outlineLevel="0" max="18" min="18" style="0" width="12"/>
    <col collapsed="false" customWidth="true" hidden="false" outlineLevel="0" max="20" min="19" style="0" width="16"/>
    <col collapsed="false" customWidth="true" hidden="false" outlineLevel="0" max="21" min="21" style="0" width="18"/>
    <col collapsed="false" customWidth="true" hidden="false" outlineLevel="0" max="22" min="2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2" t="n">
        <v>46023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33</v>
      </c>
      <c r="O2" s="4" t="n">
        <v>127</v>
      </c>
      <c r="P2" s="3" t="s">
        <v>34</v>
      </c>
      <c r="Q2" s="5" t="n">
        <v>34200</v>
      </c>
      <c r="R2" s="6" t="n">
        <v>0.1</v>
      </c>
      <c r="S2" s="5" t="n">
        <f aca="false">O2*Q2</f>
        <v>4343400</v>
      </c>
      <c r="T2" s="5" t="n">
        <f aca="false">S2*R2</f>
        <v>434340</v>
      </c>
      <c r="U2" s="5" t="n">
        <f aca="false">S2-T2</f>
        <v>3909060</v>
      </c>
      <c r="V2" s="3" t="s">
        <v>35</v>
      </c>
    </row>
    <row r="3" customFormat="false" ht="15" hidden="false" customHeight="false" outlineLevel="0" collapsed="false">
      <c r="A3" s="2" t="n">
        <v>46024</v>
      </c>
      <c r="B3" s="3" t="s">
        <v>36</v>
      </c>
      <c r="C3" s="3" t="s">
        <v>37</v>
      </c>
      <c r="D3" s="3" t="s">
        <v>38</v>
      </c>
      <c r="E3" s="3" t="s">
        <v>39</v>
      </c>
      <c r="F3" s="3" t="s">
        <v>40</v>
      </c>
      <c r="G3" s="3" t="s">
        <v>39</v>
      </c>
      <c r="H3" s="3" t="s">
        <v>41</v>
      </c>
      <c r="I3" s="3" t="s">
        <v>42</v>
      </c>
      <c r="J3" s="3" t="s">
        <v>43</v>
      </c>
      <c r="K3" s="3" t="s">
        <v>44</v>
      </c>
      <c r="L3" s="3" t="s">
        <v>45</v>
      </c>
      <c r="M3" s="3" t="s">
        <v>46</v>
      </c>
      <c r="N3" s="3" t="s">
        <v>47</v>
      </c>
      <c r="O3" s="4" t="n">
        <v>233</v>
      </c>
      <c r="P3" s="3" t="s">
        <v>48</v>
      </c>
      <c r="Q3" s="5" t="n">
        <v>142000</v>
      </c>
      <c r="R3" s="6" t="n">
        <v>0.05</v>
      </c>
      <c r="S3" s="5" t="n">
        <f aca="false">O3*Q3</f>
        <v>33086000</v>
      </c>
      <c r="T3" s="5" t="n">
        <f aca="false">S3*R3</f>
        <v>1654300</v>
      </c>
      <c r="U3" s="5" t="n">
        <f aca="false">S3-T3</f>
        <v>31431700</v>
      </c>
      <c r="V3" s="3" t="s">
        <v>39</v>
      </c>
    </row>
    <row r="4" customFormat="false" ht="15" hidden="false" customHeight="false" outlineLevel="0" collapsed="false">
      <c r="A4" s="2" t="n">
        <v>46024</v>
      </c>
      <c r="B4" s="3" t="s">
        <v>49</v>
      </c>
      <c r="C4" s="3" t="s">
        <v>50</v>
      </c>
      <c r="D4" s="3" t="s">
        <v>51</v>
      </c>
      <c r="E4" s="3" t="s">
        <v>25</v>
      </c>
      <c r="F4" s="3" t="s">
        <v>52</v>
      </c>
      <c r="G4" s="3" t="s">
        <v>27</v>
      </c>
      <c r="H4" s="3" t="s">
        <v>53</v>
      </c>
      <c r="I4" s="3" t="s">
        <v>54</v>
      </c>
      <c r="J4" s="3" t="s">
        <v>55</v>
      </c>
      <c r="K4" s="3" t="s">
        <v>56</v>
      </c>
      <c r="L4" s="3" t="s">
        <v>57</v>
      </c>
      <c r="M4" s="3" t="s">
        <v>58</v>
      </c>
      <c r="N4" s="3" t="s">
        <v>59</v>
      </c>
      <c r="O4" s="4" t="n">
        <v>48</v>
      </c>
      <c r="P4" s="3" t="s">
        <v>48</v>
      </c>
      <c r="Q4" s="5" t="n">
        <v>52800</v>
      </c>
      <c r="R4" s="6" t="n">
        <v>0.08</v>
      </c>
      <c r="S4" s="5" t="n">
        <f aca="false">O4*Q4</f>
        <v>2534400</v>
      </c>
      <c r="T4" s="5" t="n">
        <f aca="false">S4*R4</f>
        <v>202752</v>
      </c>
      <c r="U4" s="5" t="n">
        <f aca="false">S4-T4</f>
        <v>2331648</v>
      </c>
      <c r="V4" s="3" t="s">
        <v>35</v>
      </c>
    </row>
    <row r="5" customFormat="false" ht="15" hidden="false" customHeight="false" outlineLevel="0" collapsed="false">
      <c r="A5" s="2" t="n">
        <v>46024</v>
      </c>
      <c r="B5" s="3" t="s">
        <v>60</v>
      </c>
      <c r="C5" s="3" t="s">
        <v>61</v>
      </c>
      <c r="D5" s="3" t="s">
        <v>62</v>
      </c>
      <c r="E5" s="3" t="s">
        <v>25</v>
      </c>
      <c r="F5" s="3" t="s">
        <v>63</v>
      </c>
      <c r="G5" s="3" t="s">
        <v>27</v>
      </c>
      <c r="H5" s="3" t="s">
        <v>28</v>
      </c>
      <c r="I5" s="3" t="s">
        <v>29</v>
      </c>
      <c r="J5" s="3" t="s">
        <v>30</v>
      </c>
      <c r="K5" s="3" t="s">
        <v>64</v>
      </c>
      <c r="L5" s="3" t="s">
        <v>65</v>
      </c>
      <c r="M5" s="3" t="s">
        <v>33</v>
      </c>
      <c r="N5" s="3" t="s">
        <v>33</v>
      </c>
      <c r="O5" s="4" t="n">
        <v>125</v>
      </c>
      <c r="P5" s="3" t="s">
        <v>66</v>
      </c>
      <c r="Q5" s="5" t="n">
        <v>28500</v>
      </c>
      <c r="R5" s="6" t="n">
        <v>0.1</v>
      </c>
      <c r="S5" s="5" t="n">
        <f aca="false">O5*Q5</f>
        <v>3562500</v>
      </c>
      <c r="T5" s="5" t="n">
        <f aca="false">S5*R5</f>
        <v>356250</v>
      </c>
      <c r="U5" s="5" t="n">
        <f aca="false">S5-T5</f>
        <v>3206250</v>
      </c>
      <c r="V5" s="3" t="s">
        <v>35</v>
      </c>
    </row>
    <row r="6" customFormat="false" ht="15" hidden="false" customHeight="false" outlineLevel="0" collapsed="false">
      <c r="A6" s="2" t="n">
        <v>46024</v>
      </c>
      <c r="B6" s="3" t="s">
        <v>67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39</v>
      </c>
      <c r="H6" s="3" t="s">
        <v>68</v>
      </c>
      <c r="I6" s="3" t="s">
        <v>69</v>
      </c>
      <c r="J6" s="3" t="s">
        <v>70</v>
      </c>
      <c r="K6" s="3" t="s">
        <v>71</v>
      </c>
      <c r="L6" s="3" t="s">
        <v>72</v>
      </c>
      <c r="M6" s="3" t="s">
        <v>46</v>
      </c>
      <c r="N6" s="3" t="s">
        <v>47</v>
      </c>
      <c r="O6" s="4" t="n">
        <v>246</v>
      </c>
      <c r="P6" s="3" t="s">
        <v>48</v>
      </c>
      <c r="Q6" s="5" t="n">
        <v>156000</v>
      </c>
      <c r="R6" s="6" t="n">
        <v>0.02</v>
      </c>
      <c r="S6" s="5" t="n">
        <f aca="false">O6*Q6</f>
        <v>38376000</v>
      </c>
      <c r="T6" s="5" t="n">
        <f aca="false">S6*R6</f>
        <v>767520</v>
      </c>
      <c r="U6" s="5" t="n">
        <f aca="false">S6-T6</f>
        <v>37608480</v>
      </c>
      <c r="V6" s="3" t="s">
        <v>39</v>
      </c>
    </row>
    <row r="7" customFormat="false" ht="15" hidden="false" customHeight="false" outlineLevel="0" collapsed="false">
      <c r="A7" s="2" t="n">
        <v>46025</v>
      </c>
      <c r="B7" s="3" t="s">
        <v>73</v>
      </c>
      <c r="C7" s="3" t="s">
        <v>74</v>
      </c>
      <c r="D7" s="3" t="s">
        <v>75</v>
      </c>
      <c r="E7" s="3" t="s">
        <v>76</v>
      </c>
      <c r="F7" s="3" t="s">
        <v>26</v>
      </c>
      <c r="G7" s="3" t="s">
        <v>77</v>
      </c>
      <c r="H7" s="3" t="s">
        <v>78</v>
      </c>
      <c r="I7" s="3" t="s">
        <v>79</v>
      </c>
      <c r="J7" s="3" t="s">
        <v>80</v>
      </c>
      <c r="K7" s="3" t="s">
        <v>31</v>
      </c>
      <c r="L7" s="3" t="s">
        <v>32</v>
      </c>
      <c r="M7" s="3" t="s">
        <v>33</v>
      </c>
      <c r="N7" s="3" t="s">
        <v>33</v>
      </c>
      <c r="O7" s="4" t="n">
        <v>43</v>
      </c>
      <c r="P7" s="3" t="s">
        <v>34</v>
      </c>
      <c r="Q7" s="5" t="n">
        <v>34200</v>
      </c>
      <c r="R7" s="6" t="n">
        <v>0</v>
      </c>
      <c r="S7" s="5" t="n">
        <f aca="false">O7*Q7</f>
        <v>1470600</v>
      </c>
      <c r="T7" s="5" t="n">
        <f aca="false">S7*R7</f>
        <v>0</v>
      </c>
      <c r="U7" s="5" t="n">
        <f aca="false">S7-T7</f>
        <v>1470600</v>
      </c>
      <c r="V7" s="3" t="s">
        <v>81</v>
      </c>
    </row>
    <row r="8" customFormat="false" ht="15" hidden="false" customHeight="false" outlineLevel="0" collapsed="false">
      <c r="A8" s="2" t="n">
        <v>46025</v>
      </c>
      <c r="B8" s="3" t="s">
        <v>82</v>
      </c>
      <c r="C8" s="3" t="s">
        <v>83</v>
      </c>
      <c r="D8" s="3" t="s">
        <v>84</v>
      </c>
      <c r="E8" s="3" t="s">
        <v>76</v>
      </c>
      <c r="F8" s="3" t="s">
        <v>85</v>
      </c>
      <c r="G8" s="3" t="s">
        <v>86</v>
      </c>
      <c r="H8" s="3" t="s">
        <v>87</v>
      </c>
      <c r="I8" s="3" t="s">
        <v>88</v>
      </c>
      <c r="J8" s="3" t="s">
        <v>89</v>
      </c>
      <c r="K8" s="3" t="s">
        <v>90</v>
      </c>
      <c r="L8" s="3" t="s">
        <v>91</v>
      </c>
      <c r="M8" s="3" t="s">
        <v>92</v>
      </c>
      <c r="N8" s="3" t="s">
        <v>59</v>
      </c>
      <c r="O8" s="4" t="n">
        <v>281</v>
      </c>
      <c r="P8" s="3" t="s">
        <v>48</v>
      </c>
      <c r="Q8" s="5" t="n">
        <v>96500</v>
      </c>
      <c r="R8" s="6" t="n">
        <v>0.03</v>
      </c>
      <c r="S8" s="5" t="n">
        <f aca="false">O8*Q8</f>
        <v>27116500</v>
      </c>
      <c r="T8" s="5" t="n">
        <f aca="false">S8*R8</f>
        <v>813495</v>
      </c>
      <c r="U8" s="5" t="n">
        <f aca="false">S8-T8</f>
        <v>26303005</v>
      </c>
      <c r="V8" s="3" t="s">
        <v>81</v>
      </c>
    </row>
    <row r="9" customFormat="false" ht="15" hidden="false" customHeight="false" outlineLevel="0" collapsed="false">
      <c r="A9" s="2" t="n">
        <v>46026</v>
      </c>
      <c r="B9" s="3" t="s">
        <v>93</v>
      </c>
      <c r="C9" s="3" t="s">
        <v>94</v>
      </c>
      <c r="D9" s="3" t="s">
        <v>95</v>
      </c>
      <c r="E9" s="3" t="s">
        <v>76</v>
      </c>
      <c r="F9" s="3" t="s">
        <v>96</v>
      </c>
      <c r="G9" s="3" t="s">
        <v>97</v>
      </c>
      <c r="H9" s="3" t="s">
        <v>68</v>
      </c>
      <c r="I9" s="3" t="s">
        <v>69</v>
      </c>
      <c r="J9" s="3" t="s">
        <v>70</v>
      </c>
      <c r="K9" s="3" t="s">
        <v>98</v>
      </c>
      <c r="L9" s="3" t="s">
        <v>99</v>
      </c>
      <c r="M9" s="3" t="s">
        <v>46</v>
      </c>
      <c r="N9" s="3" t="s">
        <v>47</v>
      </c>
      <c r="O9" s="4" t="n">
        <v>151</v>
      </c>
      <c r="P9" s="3" t="s">
        <v>48</v>
      </c>
      <c r="Q9" s="5" t="n">
        <v>138500</v>
      </c>
      <c r="R9" s="6" t="n">
        <v>0.02</v>
      </c>
      <c r="S9" s="5" t="n">
        <f aca="false">O9*Q9</f>
        <v>20913500</v>
      </c>
      <c r="T9" s="5" t="n">
        <f aca="false">S9*R9</f>
        <v>418270</v>
      </c>
      <c r="U9" s="5" t="n">
        <f aca="false">S9-T9</f>
        <v>20495230</v>
      </c>
      <c r="V9" s="3" t="s">
        <v>81</v>
      </c>
    </row>
    <row r="10" customFormat="false" ht="15" hidden="false" customHeight="false" outlineLevel="0" collapsed="false">
      <c r="A10" s="2" t="n">
        <v>46028</v>
      </c>
      <c r="B10" s="3" t="s">
        <v>100</v>
      </c>
      <c r="C10" s="3" t="s">
        <v>101</v>
      </c>
      <c r="D10" s="3" t="s">
        <v>102</v>
      </c>
      <c r="E10" s="3" t="s">
        <v>25</v>
      </c>
      <c r="F10" s="3" t="s">
        <v>40</v>
      </c>
      <c r="G10" s="3" t="s">
        <v>27</v>
      </c>
      <c r="H10" s="3" t="s">
        <v>28</v>
      </c>
      <c r="I10" s="3" t="s">
        <v>29</v>
      </c>
      <c r="J10" s="3" t="s">
        <v>30</v>
      </c>
      <c r="K10" s="3" t="s">
        <v>56</v>
      </c>
      <c r="L10" s="3" t="s">
        <v>57</v>
      </c>
      <c r="M10" s="3" t="s">
        <v>58</v>
      </c>
      <c r="N10" s="3" t="s">
        <v>59</v>
      </c>
      <c r="O10" s="4" t="n">
        <v>57</v>
      </c>
      <c r="P10" s="3" t="s">
        <v>48</v>
      </c>
      <c r="Q10" s="5" t="n">
        <v>52800</v>
      </c>
      <c r="R10" s="6" t="n">
        <v>0.1</v>
      </c>
      <c r="S10" s="5" t="n">
        <f aca="false">O10*Q10</f>
        <v>3009600</v>
      </c>
      <c r="T10" s="5" t="n">
        <f aca="false">S10*R10</f>
        <v>300960</v>
      </c>
      <c r="U10" s="5" t="n">
        <f aca="false">S10-T10</f>
        <v>2708640</v>
      </c>
      <c r="V10" s="3" t="s">
        <v>35</v>
      </c>
    </row>
    <row r="11" customFormat="false" ht="15" hidden="false" customHeight="false" outlineLevel="0" collapsed="false">
      <c r="A11" s="2" t="n">
        <v>46028</v>
      </c>
      <c r="B11" s="3" t="s">
        <v>103</v>
      </c>
      <c r="C11" s="3" t="s">
        <v>104</v>
      </c>
      <c r="D11" s="3" t="s">
        <v>105</v>
      </c>
      <c r="E11" s="3" t="s">
        <v>25</v>
      </c>
      <c r="F11" s="3" t="s">
        <v>106</v>
      </c>
      <c r="G11" s="3" t="s">
        <v>27</v>
      </c>
      <c r="H11" s="3" t="s">
        <v>53</v>
      </c>
      <c r="I11" s="3" t="s">
        <v>54</v>
      </c>
      <c r="J11" s="3" t="s">
        <v>55</v>
      </c>
      <c r="K11" s="3" t="s">
        <v>31</v>
      </c>
      <c r="L11" s="3" t="s">
        <v>32</v>
      </c>
      <c r="M11" s="3" t="s">
        <v>33</v>
      </c>
      <c r="N11" s="3" t="s">
        <v>33</v>
      </c>
      <c r="O11" s="4" t="n">
        <v>159</v>
      </c>
      <c r="P11" s="3" t="s">
        <v>34</v>
      </c>
      <c r="Q11" s="5" t="n">
        <v>34200</v>
      </c>
      <c r="R11" s="6" t="n">
        <v>0.08</v>
      </c>
      <c r="S11" s="5" t="n">
        <f aca="false">O11*Q11</f>
        <v>5437800</v>
      </c>
      <c r="T11" s="5" t="n">
        <f aca="false">S11*R11</f>
        <v>435024</v>
      </c>
      <c r="U11" s="5" t="n">
        <f aca="false">S11-T11</f>
        <v>5002776</v>
      </c>
      <c r="V11" s="3" t="s">
        <v>35</v>
      </c>
    </row>
    <row r="12" customFormat="false" ht="15" hidden="false" customHeight="false" outlineLevel="0" collapsed="false">
      <c r="A12" s="2" t="n">
        <v>46028</v>
      </c>
      <c r="B12" s="3" t="s">
        <v>107</v>
      </c>
      <c r="C12" s="3" t="s">
        <v>83</v>
      </c>
      <c r="D12" s="3" t="s">
        <v>84</v>
      </c>
      <c r="E12" s="3" t="s">
        <v>76</v>
      </c>
      <c r="F12" s="3" t="s">
        <v>85</v>
      </c>
      <c r="G12" s="3" t="s">
        <v>86</v>
      </c>
      <c r="H12" s="3" t="s">
        <v>87</v>
      </c>
      <c r="I12" s="3" t="s">
        <v>88</v>
      </c>
      <c r="J12" s="3" t="s">
        <v>89</v>
      </c>
      <c r="K12" s="3" t="s">
        <v>108</v>
      </c>
      <c r="L12" s="3" t="s">
        <v>109</v>
      </c>
      <c r="M12" s="3" t="s">
        <v>110</v>
      </c>
      <c r="N12" s="3" t="s">
        <v>111</v>
      </c>
      <c r="O12" s="4" t="n">
        <v>401</v>
      </c>
      <c r="P12" s="3" t="s">
        <v>48</v>
      </c>
      <c r="Q12" s="5" t="n">
        <v>112000</v>
      </c>
      <c r="R12" s="6" t="n">
        <v>0.08</v>
      </c>
      <c r="S12" s="5" t="n">
        <f aca="false">O12*Q12</f>
        <v>44912000</v>
      </c>
      <c r="T12" s="5" t="n">
        <f aca="false">S12*R12</f>
        <v>3592960</v>
      </c>
      <c r="U12" s="5" t="n">
        <f aca="false">S12-T12</f>
        <v>41319040</v>
      </c>
      <c r="V12" s="3" t="s">
        <v>81</v>
      </c>
    </row>
    <row r="13" customFormat="false" ht="15" hidden="false" customHeight="false" outlineLevel="0" collapsed="false">
      <c r="A13" s="2" t="n">
        <v>46030</v>
      </c>
      <c r="B13" s="3" t="s">
        <v>112</v>
      </c>
      <c r="C13" s="3" t="s">
        <v>113</v>
      </c>
      <c r="D13" s="3" t="s">
        <v>114</v>
      </c>
      <c r="E13" s="3" t="s">
        <v>25</v>
      </c>
      <c r="F13" s="3" t="s">
        <v>85</v>
      </c>
      <c r="G13" s="3" t="s">
        <v>27</v>
      </c>
      <c r="H13" s="3" t="s">
        <v>53</v>
      </c>
      <c r="I13" s="3" t="s">
        <v>54</v>
      </c>
      <c r="J13" s="3" t="s">
        <v>55</v>
      </c>
      <c r="K13" s="3" t="s">
        <v>115</v>
      </c>
      <c r="L13" s="3" t="s">
        <v>116</v>
      </c>
      <c r="M13" s="3" t="s">
        <v>92</v>
      </c>
      <c r="N13" s="3" t="s">
        <v>117</v>
      </c>
      <c r="O13" s="4" t="n">
        <v>46</v>
      </c>
      <c r="P13" s="3" t="s">
        <v>48</v>
      </c>
      <c r="Q13" s="5" t="n">
        <v>42300</v>
      </c>
      <c r="R13" s="6" t="n">
        <v>0.15</v>
      </c>
      <c r="S13" s="5" t="n">
        <f aca="false">O13*Q13</f>
        <v>1945800</v>
      </c>
      <c r="T13" s="5" t="n">
        <f aca="false">S13*R13</f>
        <v>291870</v>
      </c>
      <c r="U13" s="5" t="n">
        <f aca="false">S13-T13</f>
        <v>1653930</v>
      </c>
      <c r="V13" s="3" t="s">
        <v>35</v>
      </c>
    </row>
    <row r="14" customFormat="false" ht="15" hidden="false" customHeight="false" outlineLevel="0" collapsed="false">
      <c r="A14" s="2" t="n">
        <v>46030</v>
      </c>
      <c r="B14" s="3" t="s">
        <v>118</v>
      </c>
      <c r="C14" s="3" t="s">
        <v>61</v>
      </c>
      <c r="D14" s="3" t="s">
        <v>62</v>
      </c>
      <c r="E14" s="3" t="s">
        <v>25</v>
      </c>
      <c r="F14" s="3" t="s">
        <v>63</v>
      </c>
      <c r="G14" s="3" t="s">
        <v>27</v>
      </c>
      <c r="H14" s="3" t="s">
        <v>53</v>
      </c>
      <c r="I14" s="3" t="s">
        <v>54</v>
      </c>
      <c r="J14" s="3" t="s">
        <v>55</v>
      </c>
      <c r="K14" s="3" t="s">
        <v>119</v>
      </c>
      <c r="L14" s="3" t="s">
        <v>120</v>
      </c>
      <c r="M14" s="3" t="s">
        <v>33</v>
      </c>
      <c r="N14" s="3" t="s">
        <v>33</v>
      </c>
      <c r="O14" s="4" t="n">
        <v>155</v>
      </c>
      <c r="P14" s="3" t="s">
        <v>34</v>
      </c>
      <c r="Q14" s="5" t="n">
        <v>18900</v>
      </c>
      <c r="R14" s="6" t="n">
        <v>0.08</v>
      </c>
      <c r="S14" s="5" t="n">
        <f aca="false">O14*Q14</f>
        <v>2929500</v>
      </c>
      <c r="T14" s="5" t="n">
        <f aca="false">S14*R14</f>
        <v>234360</v>
      </c>
      <c r="U14" s="5" t="n">
        <f aca="false">S14-T14</f>
        <v>2695140</v>
      </c>
      <c r="V14" s="3" t="s">
        <v>35</v>
      </c>
    </row>
    <row r="15" customFormat="false" ht="15" hidden="false" customHeight="false" outlineLevel="0" collapsed="false">
      <c r="A15" s="2" t="n">
        <v>46030</v>
      </c>
      <c r="B15" s="3" t="s">
        <v>121</v>
      </c>
      <c r="C15" s="3" t="s">
        <v>122</v>
      </c>
      <c r="D15" s="3" t="s">
        <v>123</v>
      </c>
      <c r="E15" s="3" t="s">
        <v>76</v>
      </c>
      <c r="F15" s="3" t="s">
        <v>124</v>
      </c>
      <c r="G15" s="3" t="s">
        <v>86</v>
      </c>
      <c r="H15" s="3" t="s">
        <v>87</v>
      </c>
      <c r="I15" s="3" t="s">
        <v>88</v>
      </c>
      <c r="J15" s="3" t="s">
        <v>89</v>
      </c>
      <c r="K15" s="3" t="s">
        <v>56</v>
      </c>
      <c r="L15" s="3" t="s">
        <v>57</v>
      </c>
      <c r="M15" s="3" t="s">
        <v>58</v>
      </c>
      <c r="N15" s="3" t="s">
        <v>59</v>
      </c>
      <c r="O15" s="4" t="n">
        <v>490</v>
      </c>
      <c r="P15" s="3" t="s">
        <v>48</v>
      </c>
      <c r="Q15" s="5" t="n">
        <v>52800</v>
      </c>
      <c r="R15" s="6" t="n">
        <v>0.05</v>
      </c>
      <c r="S15" s="5" t="n">
        <f aca="false">O15*Q15</f>
        <v>25872000</v>
      </c>
      <c r="T15" s="5" t="n">
        <f aca="false">S15*R15</f>
        <v>1293600</v>
      </c>
      <c r="U15" s="5" t="n">
        <f aca="false">S15-T15</f>
        <v>24578400</v>
      </c>
      <c r="V15" s="3" t="s">
        <v>81</v>
      </c>
    </row>
    <row r="16" customFormat="false" ht="15" hidden="false" customHeight="false" outlineLevel="0" collapsed="false">
      <c r="A16" s="2" t="n">
        <v>46030</v>
      </c>
      <c r="B16" s="3" t="s">
        <v>125</v>
      </c>
      <c r="C16" s="3" t="s">
        <v>126</v>
      </c>
      <c r="D16" s="3" t="s">
        <v>127</v>
      </c>
      <c r="E16" s="3" t="s">
        <v>76</v>
      </c>
      <c r="F16" s="3" t="s">
        <v>40</v>
      </c>
      <c r="G16" s="3" t="s">
        <v>77</v>
      </c>
      <c r="H16" s="3" t="s">
        <v>78</v>
      </c>
      <c r="I16" s="3" t="s">
        <v>79</v>
      </c>
      <c r="J16" s="3" t="s">
        <v>80</v>
      </c>
      <c r="K16" s="3" t="s">
        <v>128</v>
      </c>
      <c r="L16" s="3" t="s">
        <v>129</v>
      </c>
      <c r="M16" s="3" t="s">
        <v>130</v>
      </c>
      <c r="N16" s="3" t="s">
        <v>131</v>
      </c>
      <c r="O16" s="4" t="n">
        <v>545</v>
      </c>
      <c r="P16" s="3" t="s">
        <v>48</v>
      </c>
      <c r="Q16" s="5" t="n">
        <v>84500</v>
      </c>
      <c r="R16" s="6" t="n">
        <v>0.08</v>
      </c>
      <c r="S16" s="5" t="n">
        <f aca="false">O16*Q16</f>
        <v>46052500</v>
      </c>
      <c r="T16" s="5" t="n">
        <f aca="false">S16*R16</f>
        <v>3684200</v>
      </c>
      <c r="U16" s="5" t="n">
        <f aca="false">S16-T16</f>
        <v>42368300</v>
      </c>
      <c r="V16" s="3" t="s">
        <v>81</v>
      </c>
    </row>
    <row r="17" customFormat="false" ht="15" hidden="false" customHeight="false" outlineLevel="0" collapsed="false">
      <c r="A17" s="2" t="n">
        <v>46030</v>
      </c>
      <c r="B17" s="3" t="s">
        <v>132</v>
      </c>
      <c r="C17" s="3" t="s">
        <v>104</v>
      </c>
      <c r="D17" s="3" t="s">
        <v>105</v>
      </c>
      <c r="E17" s="3" t="s">
        <v>25</v>
      </c>
      <c r="F17" s="3" t="s">
        <v>106</v>
      </c>
      <c r="G17" s="3" t="s">
        <v>27</v>
      </c>
      <c r="H17" s="3" t="s">
        <v>133</v>
      </c>
      <c r="I17" s="3" t="s">
        <v>134</v>
      </c>
      <c r="J17" s="3" t="s">
        <v>135</v>
      </c>
      <c r="K17" s="3" t="s">
        <v>31</v>
      </c>
      <c r="L17" s="3" t="s">
        <v>32</v>
      </c>
      <c r="M17" s="3" t="s">
        <v>33</v>
      </c>
      <c r="N17" s="3" t="s">
        <v>33</v>
      </c>
      <c r="O17" s="4" t="n">
        <v>37</v>
      </c>
      <c r="P17" s="3" t="s">
        <v>34</v>
      </c>
      <c r="Q17" s="5" t="n">
        <v>34200</v>
      </c>
      <c r="R17" s="6" t="n">
        <v>0.08</v>
      </c>
      <c r="S17" s="5" t="n">
        <f aca="false">O17*Q17</f>
        <v>1265400</v>
      </c>
      <c r="T17" s="5" t="n">
        <f aca="false">S17*R17</f>
        <v>101232</v>
      </c>
      <c r="U17" s="5" t="n">
        <f aca="false">S17-T17</f>
        <v>1164168</v>
      </c>
      <c r="V17" s="3" t="s">
        <v>35</v>
      </c>
    </row>
    <row r="18" customFormat="false" ht="15" hidden="false" customHeight="false" outlineLevel="0" collapsed="false">
      <c r="A18" s="2" t="n">
        <v>46030</v>
      </c>
      <c r="B18" s="3" t="s">
        <v>136</v>
      </c>
      <c r="C18" s="3" t="s">
        <v>137</v>
      </c>
      <c r="D18" s="3" t="s">
        <v>138</v>
      </c>
      <c r="E18" s="3" t="s">
        <v>76</v>
      </c>
      <c r="F18" s="3" t="s">
        <v>40</v>
      </c>
      <c r="G18" s="3" t="s">
        <v>77</v>
      </c>
      <c r="H18" s="3" t="s">
        <v>78</v>
      </c>
      <c r="I18" s="3" t="s">
        <v>79</v>
      </c>
      <c r="J18" s="3" t="s">
        <v>80</v>
      </c>
      <c r="K18" s="3" t="s">
        <v>90</v>
      </c>
      <c r="L18" s="3" t="s">
        <v>91</v>
      </c>
      <c r="M18" s="3" t="s">
        <v>92</v>
      </c>
      <c r="N18" s="3" t="s">
        <v>59</v>
      </c>
      <c r="O18" s="4" t="n">
        <v>423</v>
      </c>
      <c r="P18" s="3" t="s">
        <v>48</v>
      </c>
      <c r="Q18" s="5" t="n">
        <v>96500</v>
      </c>
      <c r="R18" s="6" t="n">
        <v>0.05</v>
      </c>
      <c r="S18" s="5" t="n">
        <f aca="false">O18*Q18</f>
        <v>40819500</v>
      </c>
      <c r="T18" s="5" t="n">
        <f aca="false">S18*R18</f>
        <v>2040975</v>
      </c>
      <c r="U18" s="5" t="n">
        <f aca="false">S18-T18</f>
        <v>38778525</v>
      </c>
      <c r="V18" s="3" t="s">
        <v>81</v>
      </c>
    </row>
    <row r="19" customFormat="false" ht="15" hidden="false" customHeight="false" outlineLevel="0" collapsed="false">
      <c r="A19" s="2" t="n">
        <v>46031</v>
      </c>
      <c r="B19" s="3" t="s">
        <v>139</v>
      </c>
      <c r="C19" s="3" t="s">
        <v>37</v>
      </c>
      <c r="D19" s="3" t="s">
        <v>38</v>
      </c>
      <c r="E19" s="3" t="s">
        <v>39</v>
      </c>
      <c r="F19" s="3" t="s">
        <v>40</v>
      </c>
      <c r="G19" s="3" t="s">
        <v>39</v>
      </c>
      <c r="H19" s="3" t="s">
        <v>41</v>
      </c>
      <c r="I19" s="3" t="s">
        <v>42</v>
      </c>
      <c r="J19" s="3" t="s">
        <v>43</v>
      </c>
      <c r="K19" s="3" t="s">
        <v>98</v>
      </c>
      <c r="L19" s="3" t="s">
        <v>99</v>
      </c>
      <c r="M19" s="3" t="s">
        <v>46</v>
      </c>
      <c r="N19" s="3" t="s">
        <v>47</v>
      </c>
      <c r="O19" s="4" t="n">
        <v>188</v>
      </c>
      <c r="P19" s="3" t="s">
        <v>48</v>
      </c>
      <c r="Q19" s="5" t="n">
        <v>138500</v>
      </c>
      <c r="R19" s="6" t="n">
        <v>0.02</v>
      </c>
      <c r="S19" s="5" t="n">
        <f aca="false">O19*Q19</f>
        <v>26038000</v>
      </c>
      <c r="T19" s="5" t="n">
        <f aca="false">S19*R19</f>
        <v>520760</v>
      </c>
      <c r="U19" s="5" t="n">
        <f aca="false">S19-T19</f>
        <v>25517240</v>
      </c>
      <c r="V19" s="3" t="s">
        <v>39</v>
      </c>
    </row>
    <row r="20" customFormat="false" ht="15" hidden="false" customHeight="false" outlineLevel="0" collapsed="false">
      <c r="A20" s="2" t="n">
        <v>46031</v>
      </c>
      <c r="B20" s="3" t="s">
        <v>140</v>
      </c>
      <c r="C20" s="3" t="s">
        <v>141</v>
      </c>
      <c r="D20" s="3" t="s">
        <v>142</v>
      </c>
      <c r="E20" s="3" t="s">
        <v>25</v>
      </c>
      <c r="F20" s="3" t="s">
        <v>143</v>
      </c>
      <c r="G20" s="3" t="s">
        <v>27</v>
      </c>
      <c r="H20" s="3" t="s">
        <v>28</v>
      </c>
      <c r="I20" s="3" t="s">
        <v>29</v>
      </c>
      <c r="J20" s="3" t="s">
        <v>30</v>
      </c>
      <c r="K20" s="3" t="s">
        <v>144</v>
      </c>
      <c r="L20" s="3" t="s">
        <v>145</v>
      </c>
      <c r="M20" s="3" t="s">
        <v>146</v>
      </c>
      <c r="N20" s="3" t="s">
        <v>111</v>
      </c>
      <c r="O20" s="4" t="n">
        <v>74</v>
      </c>
      <c r="P20" s="3" t="s">
        <v>48</v>
      </c>
      <c r="Q20" s="5" t="n">
        <v>89000</v>
      </c>
      <c r="R20" s="6" t="n">
        <v>0.12</v>
      </c>
      <c r="S20" s="5" t="n">
        <f aca="false">O20*Q20</f>
        <v>6586000</v>
      </c>
      <c r="T20" s="5" t="n">
        <f aca="false">S20*R20</f>
        <v>790320</v>
      </c>
      <c r="U20" s="5" t="n">
        <f aca="false">S20-T20</f>
        <v>5795680</v>
      </c>
      <c r="V20" s="3" t="s">
        <v>35</v>
      </c>
    </row>
    <row r="21" customFormat="false" ht="15" hidden="false" customHeight="false" outlineLevel="0" collapsed="false">
      <c r="A21" s="2" t="n">
        <v>46032</v>
      </c>
      <c r="B21" s="3" t="s">
        <v>147</v>
      </c>
      <c r="C21" s="3" t="s">
        <v>104</v>
      </c>
      <c r="D21" s="3" t="s">
        <v>105</v>
      </c>
      <c r="E21" s="3" t="s">
        <v>25</v>
      </c>
      <c r="F21" s="3" t="s">
        <v>106</v>
      </c>
      <c r="G21" s="3" t="s">
        <v>27</v>
      </c>
      <c r="H21" s="3" t="s">
        <v>53</v>
      </c>
      <c r="I21" s="3" t="s">
        <v>54</v>
      </c>
      <c r="J21" s="3" t="s">
        <v>55</v>
      </c>
      <c r="K21" s="3" t="s">
        <v>148</v>
      </c>
      <c r="L21" s="3" t="s">
        <v>149</v>
      </c>
      <c r="M21" s="3" t="s">
        <v>130</v>
      </c>
      <c r="N21" s="3" t="s">
        <v>131</v>
      </c>
      <c r="O21" s="4" t="n">
        <v>157</v>
      </c>
      <c r="P21" s="3" t="s">
        <v>48</v>
      </c>
      <c r="Q21" s="5" t="n">
        <v>78900</v>
      </c>
      <c r="R21" s="6" t="n">
        <v>0.15</v>
      </c>
      <c r="S21" s="5" t="n">
        <f aca="false">O21*Q21</f>
        <v>12387300</v>
      </c>
      <c r="T21" s="5" t="n">
        <f aca="false">S21*R21</f>
        <v>1858095</v>
      </c>
      <c r="U21" s="5" t="n">
        <f aca="false">S21-T21</f>
        <v>10529205</v>
      </c>
      <c r="V21" s="3" t="s">
        <v>35</v>
      </c>
    </row>
    <row r="22" customFormat="false" ht="15" hidden="false" customHeight="false" outlineLevel="0" collapsed="false">
      <c r="A22" s="2" t="n">
        <v>46032</v>
      </c>
      <c r="B22" s="3" t="s">
        <v>150</v>
      </c>
      <c r="C22" s="3" t="s">
        <v>151</v>
      </c>
      <c r="D22" s="3" t="s">
        <v>152</v>
      </c>
      <c r="E22" s="3" t="s">
        <v>76</v>
      </c>
      <c r="F22" s="3" t="s">
        <v>153</v>
      </c>
      <c r="G22" s="3" t="s">
        <v>86</v>
      </c>
      <c r="H22" s="3" t="s">
        <v>87</v>
      </c>
      <c r="I22" s="3" t="s">
        <v>88</v>
      </c>
      <c r="J22" s="3" t="s">
        <v>89</v>
      </c>
      <c r="K22" s="3" t="s">
        <v>56</v>
      </c>
      <c r="L22" s="3" t="s">
        <v>57</v>
      </c>
      <c r="M22" s="3" t="s">
        <v>58</v>
      </c>
      <c r="N22" s="3" t="s">
        <v>59</v>
      </c>
      <c r="O22" s="4" t="n">
        <v>485</v>
      </c>
      <c r="P22" s="3" t="s">
        <v>48</v>
      </c>
      <c r="Q22" s="5" t="n">
        <v>52800</v>
      </c>
      <c r="R22" s="6" t="n">
        <v>0.05</v>
      </c>
      <c r="S22" s="5" t="n">
        <f aca="false">O22*Q22</f>
        <v>25608000</v>
      </c>
      <c r="T22" s="5" t="n">
        <f aca="false">S22*R22</f>
        <v>1280400</v>
      </c>
      <c r="U22" s="5" t="n">
        <f aca="false">S22-T22</f>
        <v>24327600</v>
      </c>
      <c r="V22" s="3" t="s">
        <v>81</v>
      </c>
    </row>
    <row r="23" customFormat="false" ht="15" hidden="false" customHeight="false" outlineLevel="0" collapsed="false">
      <c r="A23" s="2" t="n">
        <v>46032</v>
      </c>
      <c r="B23" s="3" t="s">
        <v>154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39</v>
      </c>
      <c r="H23" s="3" t="s">
        <v>41</v>
      </c>
      <c r="I23" s="3" t="s">
        <v>42</v>
      </c>
      <c r="J23" s="3" t="s">
        <v>43</v>
      </c>
      <c r="K23" s="3" t="s">
        <v>128</v>
      </c>
      <c r="L23" s="3" t="s">
        <v>129</v>
      </c>
      <c r="M23" s="3" t="s">
        <v>130</v>
      </c>
      <c r="N23" s="3" t="s">
        <v>131</v>
      </c>
      <c r="O23" s="4" t="n">
        <v>193</v>
      </c>
      <c r="P23" s="3" t="s">
        <v>48</v>
      </c>
      <c r="Q23" s="5" t="n">
        <v>84500</v>
      </c>
      <c r="R23" s="6" t="n">
        <v>0.03</v>
      </c>
      <c r="S23" s="5" t="n">
        <f aca="false">O23*Q23</f>
        <v>16308500</v>
      </c>
      <c r="T23" s="5" t="n">
        <f aca="false">S23*R23</f>
        <v>489255</v>
      </c>
      <c r="U23" s="5" t="n">
        <f aca="false">S23-T23</f>
        <v>15819245</v>
      </c>
      <c r="V23" s="3" t="s">
        <v>39</v>
      </c>
    </row>
    <row r="24" customFormat="false" ht="15" hidden="false" customHeight="false" outlineLevel="0" collapsed="false">
      <c r="A24" s="2" t="n">
        <v>46032</v>
      </c>
      <c r="B24" s="3" t="s">
        <v>155</v>
      </c>
      <c r="C24" s="3" t="s">
        <v>156</v>
      </c>
      <c r="D24" s="3" t="s">
        <v>157</v>
      </c>
      <c r="E24" s="3" t="s">
        <v>76</v>
      </c>
      <c r="F24" s="3" t="s">
        <v>40</v>
      </c>
      <c r="G24" s="3" t="s">
        <v>77</v>
      </c>
      <c r="H24" s="3" t="s">
        <v>78</v>
      </c>
      <c r="I24" s="3" t="s">
        <v>79</v>
      </c>
      <c r="J24" s="3" t="s">
        <v>80</v>
      </c>
      <c r="K24" s="3" t="s">
        <v>115</v>
      </c>
      <c r="L24" s="3" t="s">
        <v>116</v>
      </c>
      <c r="M24" s="3" t="s">
        <v>92</v>
      </c>
      <c r="N24" s="3" t="s">
        <v>117</v>
      </c>
      <c r="O24" s="4" t="n">
        <v>392</v>
      </c>
      <c r="P24" s="3" t="s">
        <v>48</v>
      </c>
      <c r="Q24" s="5" t="n">
        <v>42300</v>
      </c>
      <c r="R24" s="6" t="n">
        <v>0.05</v>
      </c>
      <c r="S24" s="5" t="n">
        <f aca="false">O24*Q24</f>
        <v>16581600</v>
      </c>
      <c r="T24" s="5" t="n">
        <f aca="false">S24*R24</f>
        <v>829080</v>
      </c>
      <c r="U24" s="5" t="n">
        <f aca="false">S24-T24</f>
        <v>15752520</v>
      </c>
      <c r="V24" s="3" t="s">
        <v>81</v>
      </c>
    </row>
    <row r="25" customFormat="false" ht="15" hidden="false" customHeight="false" outlineLevel="0" collapsed="false">
      <c r="A25" s="2" t="n">
        <v>46032</v>
      </c>
      <c r="B25" s="3" t="s">
        <v>158</v>
      </c>
      <c r="C25" s="3" t="s">
        <v>141</v>
      </c>
      <c r="D25" s="3" t="s">
        <v>142</v>
      </c>
      <c r="E25" s="3" t="s">
        <v>25</v>
      </c>
      <c r="F25" s="3" t="s">
        <v>143</v>
      </c>
      <c r="G25" s="3" t="s">
        <v>27</v>
      </c>
      <c r="H25" s="3" t="s">
        <v>28</v>
      </c>
      <c r="I25" s="3" t="s">
        <v>29</v>
      </c>
      <c r="J25" s="3" t="s">
        <v>30</v>
      </c>
      <c r="K25" s="3" t="s">
        <v>128</v>
      </c>
      <c r="L25" s="3" t="s">
        <v>129</v>
      </c>
      <c r="M25" s="3" t="s">
        <v>130</v>
      </c>
      <c r="N25" s="3" t="s">
        <v>131</v>
      </c>
      <c r="O25" s="4" t="n">
        <v>47</v>
      </c>
      <c r="P25" s="3" t="s">
        <v>48</v>
      </c>
      <c r="Q25" s="5" t="n">
        <v>84500</v>
      </c>
      <c r="R25" s="6" t="n">
        <v>0.12</v>
      </c>
      <c r="S25" s="5" t="n">
        <f aca="false">O25*Q25</f>
        <v>3971500</v>
      </c>
      <c r="T25" s="5" t="n">
        <f aca="false">S25*R25</f>
        <v>476580</v>
      </c>
      <c r="U25" s="5" t="n">
        <f aca="false">S25-T25</f>
        <v>3494920</v>
      </c>
      <c r="V25" s="3" t="s">
        <v>35</v>
      </c>
    </row>
    <row r="26" customFormat="false" ht="15" hidden="false" customHeight="false" outlineLevel="0" collapsed="false">
      <c r="A26" s="2" t="n">
        <v>46032</v>
      </c>
      <c r="B26" s="3" t="s">
        <v>159</v>
      </c>
      <c r="C26" s="3" t="s">
        <v>156</v>
      </c>
      <c r="D26" s="3" t="s">
        <v>157</v>
      </c>
      <c r="E26" s="3" t="s">
        <v>76</v>
      </c>
      <c r="F26" s="3" t="s">
        <v>40</v>
      </c>
      <c r="G26" s="3" t="s">
        <v>77</v>
      </c>
      <c r="H26" s="3" t="s">
        <v>78</v>
      </c>
      <c r="I26" s="3" t="s">
        <v>79</v>
      </c>
      <c r="J26" s="3" t="s">
        <v>80</v>
      </c>
      <c r="K26" s="3" t="s">
        <v>144</v>
      </c>
      <c r="L26" s="3" t="s">
        <v>145</v>
      </c>
      <c r="M26" s="3" t="s">
        <v>146</v>
      </c>
      <c r="N26" s="3" t="s">
        <v>111</v>
      </c>
      <c r="O26" s="4" t="n">
        <v>555</v>
      </c>
      <c r="P26" s="3" t="s">
        <v>48</v>
      </c>
      <c r="Q26" s="5" t="n">
        <v>89000</v>
      </c>
      <c r="R26" s="6" t="n">
        <v>0.05</v>
      </c>
      <c r="S26" s="5" t="n">
        <f aca="false">O26*Q26</f>
        <v>49395000</v>
      </c>
      <c r="T26" s="5" t="n">
        <f aca="false">S26*R26</f>
        <v>2469750</v>
      </c>
      <c r="U26" s="5" t="n">
        <f aca="false">S26-T26</f>
        <v>46925250</v>
      </c>
      <c r="V26" s="3" t="s">
        <v>81</v>
      </c>
    </row>
    <row r="27" customFormat="false" ht="15" hidden="false" customHeight="false" outlineLevel="0" collapsed="false">
      <c r="A27" s="2" t="n">
        <v>46033</v>
      </c>
      <c r="B27" s="3" t="s">
        <v>160</v>
      </c>
      <c r="C27" s="3" t="s">
        <v>126</v>
      </c>
      <c r="D27" s="3" t="s">
        <v>127</v>
      </c>
      <c r="E27" s="3" t="s">
        <v>76</v>
      </c>
      <c r="F27" s="3" t="s">
        <v>40</v>
      </c>
      <c r="G27" s="3" t="s">
        <v>77</v>
      </c>
      <c r="H27" s="3" t="s">
        <v>78</v>
      </c>
      <c r="I27" s="3" t="s">
        <v>79</v>
      </c>
      <c r="J27" s="3" t="s">
        <v>80</v>
      </c>
      <c r="K27" s="3" t="s">
        <v>128</v>
      </c>
      <c r="L27" s="3" t="s">
        <v>129</v>
      </c>
      <c r="M27" s="3" t="s">
        <v>130</v>
      </c>
      <c r="N27" s="3" t="s">
        <v>131</v>
      </c>
      <c r="O27" s="4" t="n">
        <v>354</v>
      </c>
      <c r="P27" s="3" t="s">
        <v>48</v>
      </c>
      <c r="Q27" s="5" t="n">
        <v>84500</v>
      </c>
      <c r="R27" s="6" t="n">
        <v>0.05</v>
      </c>
      <c r="S27" s="5" t="n">
        <f aca="false">O27*Q27</f>
        <v>29913000</v>
      </c>
      <c r="T27" s="5" t="n">
        <f aca="false">S27*R27</f>
        <v>1495650</v>
      </c>
      <c r="U27" s="5" t="n">
        <f aca="false">S27-T27</f>
        <v>28417350</v>
      </c>
      <c r="V27" s="3" t="s">
        <v>81</v>
      </c>
    </row>
    <row r="28" customFormat="false" ht="15" hidden="false" customHeight="false" outlineLevel="0" collapsed="false">
      <c r="A28" s="2" t="n">
        <v>46033</v>
      </c>
      <c r="B28" s="3" t="s">
        <v>161</v>
      </c>
      <c r="C28" s="3" t="s">
        <v>37</v>
      </c>
      <c r="D28" s="3" t="s">
        <v>38</v>
      </c>
      <c r="E28" s="3" t="s">
        <v>39</v>
      </c>
      <c r="F28" s="3" t="s">
        <v>40</v>
      </c>
      <c r="G28" s="3" t="s">
        <v>39</v>
      </c>
      <c r="H28" s="3" t="s">
        <v>41</v>
      </c>
      <c r="I28" s="3" t="s">
        <v>42</v>
      </c>
      <c r="J28" s="3" t="s">
        <v>43</v>
      </c>
      <c r="K28" s="3" t="s">
        <v>162</v>
      </c>
      <c r="L28" s="3" t="s">
        <v>163</v>
      </c>
      <c r="M28" s="3" t="s">
        <v>58</v>
      </c>
      <c r="N28" s="3" t="s">
        <v>59</v>
      </c>
      <c r="O28" s="4" t="n">
        <v>174</v>
      </c>
      <c r="P28" s="3" t="s">
        <v>48</v>
      </c>
      <c r="Q28" s="5" t="n">
        <v>48500</v>
      </c>
      <c r="R28" s="6" t="n">
        <v>0.02</v>
      </c>
      <c r="S28" s="5" t="n">
        <f aca="false">O28*Q28</f>
        <v>8439000</v>
      </c>
      <c r="T28" s="5" t="n">
        <f aca="false">S28*R28</f>
        <v>168780</v>
      </c>
      <c r="U28" s="5" t="n">
        <f aca="false">S28-T28</f>
        <v>8270220</v>
      </c>
      <c r="V28" s="3" t="s">
        <v>39</v>
      </c>
    </row>
    <row r="29" customFormat="false" ht="15" hidden="false" customHeight="false" outlineLevel="0" collapsed="false">
      <c r="A29" s="2" t="n">
        <v>46033</v>
      </c>
      <c r="B29" s="3" t="s">
        <v>164</v>
      </c>
      <c r="C29" s="3" t="s">
        <v>165</v>
      </c>
      <c r="D29" s="3" t="s">
        <v>166</v>
      </c>
      <c r="E29" s="3" t="s">
        <v>76</v>
      </c>
      <c r="F29" s="3" t="s">
        <v>167</v>
      </c>
      <c r="G29" s="3" t="s">
        <v>86</v>
      </c>
      <c r="H29" s="3" t="s">
        <v>87</v>
      </c>
      <c r="I29" s="3" t="s">
        <v>88</v>
      </c>
      <c r="J29" s="3" t="s">
        <v>89</v>
      </c>
      <c r="K29" s="3" t="s">
        <v>31</v>
      </c>
      <c r="L29" s="3" t="s">
        <v>32</v>
      </c>
      <c r="M29" s="3" t="s">
        <v>33</v>
      </c>
      <c r="N29" s="3" t="s">
        <v>33</v>
      </c>
      <c r="O29" s="4" t="n">
        <v>38</v>
      </c>
      <c r="P29" s="3" t="s">
        <v>34</v>
      </c>
      <c r="Q29" s="5" t="n">
        <v>34200</v>
      </c>
      <c r="R29" s="6" t="n">
        <v>0</v>
      </c>
      <c r="S29" s="5" t="n">
        <f aca="false">O29*Q29</f>
        <v>1299600</v>
      </c>
      <c r="T29" s="5" t="n">
        <f aca="false">S29*R29</f>
        <v>0</v>
      </c>
      <c r="U29" s="5" t="n">
        <f aca="false">S29-T29</f>
        <v>1299600</v>
      </c>
      <c r="V29" s="3" t="s">
        <v>81</v>
      </c>
    </row>
    <row r="30" customFormat="false" ht="15" hidden="false" customHeight="false" outlineLevel="0" collapsed="false">
      <c r="A30" s="2" t="n">
        <v>46033</v>
      </c>
      <c r="B30" s="3" t="s">
        <v>168</v>
      </c>
      <c r="C30" s="3" t="s">
        <v>37</v>
      </c>
      <c r="D30" s="3" t="s">
        <v>38</v>
      </c>
      <c r="E30" s="3" t="s">
        <v>39</v>
      </c>
      <c r="F30" s="3" t="s">
        <v>40</v>
      </c>
      <c r="G30" s="3" t="s">
        <v>39</v>
      </c>
      <c r="H30" s="3" t="s">
        <v>68</v>
      </c>
      <c r="I30" s="3" t="s">
        <v>69</v>
      </c>
      <c r="J30" s="3" t="s">
        <v>70</v>
      </c>
      <c r="K30" s="3" t="s">
        <v>56</v>
      </c>
      <c r="L30" s="3" t="s">
        <v>57</v>
      </c>
      <c r="M30" s="3" t="s">
        <v>58</v>
      </c>
      <c r="N30" s="3" t="s">
        <v>59</v>
      </c>
      <c r="O30" s="4" t="n">
        <v>96</v>
      </c>
      <c r="P30" s="3" t="s">
        <v>48</v>
      </c>
      <c r="Q30" s="5" t="n">
        <v>52800</v>
      </c>
      <c r="R30" s="6" t="n">
        <v>0.02</v>
      </c>
      <c r="S30" s="5" t="n">
        <f aca="false">O30*Q30</f>
        <v>5068800</v>
      </c>
      <c r="T30" s="5" t="n">
        <f aca="false">S30*R30</f>
        <v>101376</v>
      </c>
      <c r="U30" s="5" t="n">
        <f aca="false">S30-T30</f>
        <v>4967424</v>
      </c>
      <c r="V30" s="3" t="s">
        <v>39</v>
      </c>
    </row>
    <row r="31" customFormat="false" ht="15" hidden="false" customHeight="false" outlineLevel="0" collapsed="false">
      <c r="A31" s="2" t="n">
        <v>46034</v>
      </c>
      <c r="B31" s="3" t="s">
        <v>169</v>
      </c>
      <c r="C31" s="3" t="s">
        <v>104</v>
      </c>
      <c r="D31" s="3" t="s">
        <v>105</v>
      </c>
      <c r="E31" s="3" t="s">
        <v>25</v>
      </c>
      <c r="F31" s="3" t="s">
        <v>106</v>
      </c>
      <c r="G31" s="3" t="s">
        <v>27</v>
      </c>
      <c r="H31" s="3" t="s">
        <v>53</v>
      </c>
      <c r="I31" s="3" t="s">
        <v>54</v>
      </c>
      <c r="J31" s="3" t="s">
        <v>55</v>
      </c>
      <c r="K31" s="3" t="s">
        <v>44</v>
      </c>
      <c r="L31" s="3" t="s">
        <v>45</v>
      </c>
      <c r="M31" s="3" t="s">
        <v>46</v>
      </c>
      <c r="N31" s="3" t="s">
        <v>47</v>
      </c>
      <c r="O31" s="4" t="n">
        <v>113</v>
      </c>
      <c r="P31" s="3" t="s">
        <v>48</v>
      </c>
      <c r="Q31" s="5" t="n">
        <v>142000</v>
      </c>
      <c r="R31" s="6" t="n">
        <v>0.08</v>
      </c>
      <c r="S31" s="5" t="n">
        <f aca="false">O31*Q31</f>
        <v>16046000</v>
      </c>
      <c r="T31" s="5" t="n">
        <f aca="false">S31*R31</f>
        <v>1283680</v>
      </c>
      <c r="U31" s="5" t="n">
        <f aca="false">S31-T31</f>
        <v>14762320</v>
      </c>
      <c r="V31" s="3" t="s">
        <v>35</v>
      </c>
    </row>
    <row r="32" customFormat="false" ht="15" hidden="false" customHeight="false" outlineLevel="0" collapsed="false">
      <c r="A32" s="2" t="n">
        <v>46034</v>
      </c>
      <c r="B32" s="3" t="s">
        <v>170</v>
      </c>
      <c r="C32" s="3" t="s">
        <v>101</v>
      </c>
      <c r="D32" s="3" t="s">
        <v>102</v>
      </c>
      <c r="E32" s="3" t="s">
        <v>25</v>
      </c>
      <c r="F32" s="3" t="s">
        <v>40</v>
      </c>
      <c r="G32" s="3" t="s">
        <v>27</v>
      </c>
      <c r="H32" s="3" t="s">
        <v>28</v>
      </c>
      <c r="I32" s="3" t="s">
        <v>29</v>
      </c>
      <c r="J32" s="3" t="s">
        <v>30</v>
      </c>
      <c r="K32" s="3" t="s">
        <v>119</v>
      </c>
      <c r="L32" s="3" t="s">
        <v>120</v>
      </c>
      <c r="M32" s="3" t="s">
        <v>33</v>
      </c>
      <c r="N32" s="3" t="s">
        <v>33</v>
      </c>
      <c r="O32" s="4" t="n">
        <v>158</v>
      </c>
      <c r="P32" s="3" t="s">
        <v>34</v>
      </c>
      <c r="Q32" s="5" t="n">
        <v>18900</v>
      </c>
      <c r="R32" s="6" t="n">
        <v>0.1</v>
      </c>
      <c r="S32" s="5" t="n">
        <f aca="false">O32*Q32</f>
        <v>2986200</v>
      </c>
      <c r="T32" s="5" t="n">
        <f aca="false">S32*R32</f>
        <v>298620</v>
      </c>
      <c r="U32" s="5" t="n">
        <f aca="false">S32-T32</f>
        <v>2687580</v>
      </c>
      <c r="V32" s="3" t="s">
        <v>35</v>
      </c>
    </row>
    <row r="33" customFormat="false" ht="15" hidden="false" customHeight="false" outlineLevel="0" collapsed="false">
      <c r="A33" s="2" t="n">
        <v>46034</v>
      </c>
      <c r="B33" s="3" t="s">
        <v>171</v>
      </c>
      <c r="C33" s="3" t="s">
        <v>122</v>
      </c>
      <c r="D33" s="3" t="s">
        <v>123</v>
      </c>
      <c r="E33" s="3" t="s">
        <v>76</v>
      </c>
      <c r="F33" s="3" t="s">
        <v>124</v>
      </c>
      <c r="G33" s="3" t="s">
        <v>86</v>
      </c>
      <c r="H33" s="3" t="s">
        <v>87</v>
      </c>
      <c r="I33" s="3" t="s">
        <v>88</v>
      </c>
      <c r="J33" s="3" t="s">
        <v>89</v>
      </c>
      <c r="K33" s="3" t="s">
        <v>44</v>
      </c>
      <c r="L33" s="3" t="s">
        <v>45</v>
      </c>
      <c r="M33" s="3" t="s">
        <v>46</v>
      </c>
      <c r="N33" s="3" t="s">
        <v>47</v>
      </c>
      <c r="O33" s="4" t="n">
        <v>564</v>
      </c>
      <c r="P33" s="3" t="s">
        <v>48</v>
      </c>
      <c r="Q33" s="5" t="n">
        <v>142000</v>
      </c>
      <c r="R33" s="6" t="n">
        <v>0.05</v>
      </c>
      <c r="S33" s="5" t="n">
        <f aca="false">O33*Q33</f>
        <v>80088000</v>
      </c>
      <c r="T33" s="5" t="n">
        <f aca="false">S33*R33</f>
        <v>4004400</v>
      </c>
      <c r="U33" s="5" t="n">
        <f aca="false">S33-T33</f>
        <v>76083600</v>
      </c>
      <c r="V33" s="3" t="s">
        <v>81</v>
      </c>
    </row>
    <row r="34" customFormat="false" ht="15" hidden="false" customHeight="false" outlineLevel="0" collapsed="false">
      <c r="A34" s="2" t="n">
        <v>46034</v>
      </c>
      <c r="B34" s="3" t="s">
        <v>172</v>
      </c>
      <c r="C34" s="3" t="s">
        <v>173</v>
      </c>
      <c r="D34" s="3" t="s">
        <v>174</v>
      </c>
      <c r="E34" s="3" t="s">
        <v>76</v>
      </c>
      <c r="F34" s="3" t="s">
        <v>40</v>
      </c>
      <c r="G34" s="3" t="s">
        <v>97</v>
      </c>
      <c r="H34" s="3" t="s">
        <v>68</v>
      </c>
      <c r="I34" s="3" t="s">
        <v>69</v>
      </c>
      <c r="J34" s="3" t="s">
        <v>70</v>
      </c>
      <c r="K34" s="3" t="s">
        <v>56</v>
      </c>
      <c r="L34" s="3" t="s">
        <v>57</v>
      </c>
      <c r="M34" s="3" t="s">
        <v>58</v>
      </c>
      <c r="N34" s="3" t="s">
        <v>59</v>
      </c>
      <c r="O34" s="4" t="n">
        <v>350</v>
      </c>
      <c r="P34" s="3" t="s">
        <v>48</v>
      </c>
      <c r="Q34" s="5" t="n">
        <v>52800</v>
      </c>
      <c r="R34" s="6" t="n">
        <v>0.1</v>
      </c>
      <c r="S34" s="5" t="n">
        <f aca="false">O34*Q34</f>
        <v>18480000</v>
      </c>
      <c r="T34" s="5" t="n">
        <f aca="false">S34*R34</f>
        <v>1848000</v>
      </c>
      <c r="U34" s="5" t="n">
        <f aca="false">S34-T34</f>
        <v>16632000</v>
      </c>
      <c r="V34" s="3" t="s">
        <v>81</v>
      </c>
    </row>
    <row r="35" customFormat="false" ht="15" hidden="false" customHeight="false" outlineLevel="0" collapsed="false">
      <c r="A35" s="2" t="n">
        <v>46034</v>
      </c>
      <c r="B35" s="3" t="s">
        <v>175</v>
      </c>
      <c r="C35" s="3" t="s">
        <v>156</v>
      </c>
      <c r="D35" s="3" t="s">
        <v>157</v>
      </c>
      <c r="E35" s="3" t="s">
        <v>76</v>
      </c>
      <c r="F35" s="3" t="s">
        <v>40</v>
      </c>
      <c r="G35" s="3" t="s">
        <v>77</v>
      </c>
      <c r="H35" s="3" t="s">
        <v>78</v>
      </c>
      <c r="I35" s="3" t="s">
        <v>79</v>
      </c>
      <c r="J35" s="3" t="s">
        <v>80</v>
      </c>
      <c r="K35" s="3" t="s">
        <v>162</v>
      </c>
      <c r="L35" s="3" t="s">
        <v>163</v>
      </c>
      <c r="M35" s="3" t="s">
        <v>58</v>
      </c>
      <c r="N35" s="3" t="s">
        <v>59</v>
      </c>
      <c r="O35" s="4" t="n">
        <v>119</v>
      </c>
      <c r="P35" s="3" t="s">
        <v>48</v>
      </c>
      <c r="Q35" s="5" t="n">
        <v>48500</v>
      </c>
      <c r="R35" s="6" t="n">
        <v>0.03</v>
      </c>
      <c r="S35" s="5" t="n">
        <f aca="false">O35*Q35</f>
        <v>5771500</v>
      </c>
      <c r="T35" s="5" t="n">
        <f aca="false">S35*R35</f>
        <v>173145</v>
      </c>
      <c r="U35" s="5" t="n">
        <f aca="false">S35-T35</f>
        <v>5598355</v>
      </c>
      <c r="V35" s="3" t="s">
        <v>81</v>
      </c>
    </row>
    <row r="36" customFormat="false" ht="15" hidden="false" customHeight="false" outlineLevel="0" collapsed="false">
      <c r="A36" s="2" t="n">
        <v>46034</v>
      </c>
      <c r="B36" s="3" t="s">
        <v>176</v>
      </c>
      <c r="C36" s="3" t="s">
        <v>37</v>
      </c>
      <c r="D36" s="3" t="s">
        <v>38</v>
      </c>
      <c r="E36" s="3" t="s">
        <v>39</v>
      </c>
      <c r="F36" s="3" t="s">
        <v>40</v>
      </c>
      <c r="G36" s="3" t="s">
        <v>39</v>
      </c>
      <c r="H36" s="3" t="s">
        <v>68</v>
      </c>
      <c r="I36" s="3" t="s">
        <v>69</v>
      </c>
      <c r="J36" s="3" t="s">
        <v>70</v>
      </c>
      <c r="K36" s="3" t="s">
        <v>64</v>
      </c>
      <c r="L36" s="3" t="s">
        <v>65</v>
      </c>
      <c r="M36" s="3" t="s">
        <v>33</v>
      </c>
      <c r="N36" s="3" t="s">
        <v>33</v>
      </c>
      <c r="O36" s="4" t="n">
        <v>153</v>
      </c>
      <c r="P36" s="3" t="s">
        <v>66</v>
      </c>
      <c r="Q36" s="5" t="n">
        <v>28500</v>
      </c>
      <c r="R36" s="6" t="n">
        <v>0.03</v>
      </c>
      <c r="S36" s="5" t="n">
        <f aca="false">O36*Q36</f>
        <v>4360500</v>
      </c>
      <c r="T36" s="5" t="n">
        <f aca="false">S36*R36</f>
        <v>130815</v>
      </c>
      <c r="U36" s="5" t="n">
        <f aca="false">S36-T36</f>
        <v>4229685</v>
      </c>
      <c r="V36" s="3" t="s">
        <v>39</v>
      </c>
    </row>
    <row r="37" customFormat="false" ht="15" hidden="false" customHeight="false" outlineLevel="0" collapsed="false">
      <c r="A37" s="2" t="n">
        <v>46035</v>
      </c>
      <c r="B37" s="3" t="s">
        <v>177</v>
      </c>
      <c r="C37" s="3" t="s">
        <v>113</v>
      </c>
      <c r="D37" s="3" t="s">
        <v>114</v>
      </c>
      <c r="E37" s="3" t="s">
        <v>25</v>
      </c>
      <c r="F37" s="3" t="s">
        <v>85</v>
      </c>
      <c r="G37" s="3" t="s">
        <v>27</v>
      </c>
      <c r="H37" s="3" t="s">
        <v>133</v>
      </c>
      <c r="I37" s="3" t="s">
        <v>134</v>
      </c>
      <c r="J37" s="3" t="s">
        <v>135</v>
      </c>
      <c r="K37" s="3" t="s">
        <v>119</v>
      </c>
      <c r="L37" s="3" t="s">
        <v>120</v>
      </c>
      <c r="M37" s="3" t="s">
        <v>33</v>
      </c>
      <c r="N37" s="3" t="s">
        <v>33</v>
      </c>
      <c r="O37" s="4" t="n">
        <v>87</v>
      </c>
      <c r="P37" s="3" t="s">
        <v>34</v>
      </c>
      <c r="Q37" s="5" t="n">
        <v>18900</v>
      </c>
      <c r="R37" s="6" t="n">
        <v>0.1</v>
      </c>
      <c r="S37" s="5" t="n">
        <f aca="false">O37*Q37</f>
        <v>1644300</v>
      </c>
      <c r="T37" s="5" t="n">
        <f aca="false">S37*R37</f>
        <v>164430</v>
      </c>
      <c r="U37" s="5" t="n">
        <f aca="false">S37-T37</f>
        <v>1479870</v>
      </c>
      <c r="V37" s="3" t="s">
        <v>35</v>
      </c>
    </row>
    <row r="38" customFormat="false" ht="15" hidden="false" customHeight="false" outlineLevel="0" collapsed="false">
      <c r="A38" s="2" t="n">
        <v>46035</v>
      </c>
      <c r="B38" s="3" t="s">
        <v>178</v>
      </c>
      <c r="C38" s="3" t="s">
        <v>83</v>
      </c>
      <c r="D38" s="3" t="s">
        <v>84</v>
      </c>
      <c r="E38" s="3" t="s">
        <v>76</v>
      </c>
      <c r="F38" s="3" t="s">
        <v>85</v>
      </c>
      <c r="G38" s="3" t="s">
        <v>86</v>
      </c>
      <c r="H38" s="3" t="s">
        <v>87</v>
      </c>
      <c r="I38" s="3" t="s">
        <v>88</v>
      </c>
      <c r="J38" s="3" t="s">
        <v>89</v>
      </c>
      <c r="K38" s="3" t="s">
        <v>44</v>
      </c>
      <c r="L38" s="3" t="s">
        <v>45</v>
      </c>
      <c r="M38" s="3" t="s">
        <v>46</v>
      </c>
      <c r="N38" s="3" t="s">
        <v>47</v>
      </c>
      <c r="O38" s="4" t="n">
        <v>389</v>
      </c>
      <c r="P38" s="3" t="s">
        <v>48</v>
      </c>
      <c r="Q38" s="5" t="n">
        <v>142000</v>
      </c>
      <c r="R38" s="6" t="n">
        <v>0.1</v>
      </c>
      <c r="S38" s="5" t="n">
        <f aca="false">O38*Q38</f>
        <v>55238000</v>
      </c>
      <c r="T38" s="5" t="n">
        <f aca="false">S38*R38</f>
        <v>5523800</v>
      </c>
      <c r="U38" s="5" t="n">
        <f aca="false">S38-T38</f>
        <v>49714200</v>
      </c>
      <c r="V38" s="3" t="s">
        <v>81</v>
      </c>
    </row>
    <row r="39" customFormat="false" ht="15" hidden="false" customHeight="false" outlineLevel="0" collapsed="false">
      <c r="A39" s="2" t="n">
        <v>46035</v>
      </c>
      <c r="B39" s="3" t="s">
        <v>179</v>
      </c>
      <c r="C39" s="3" t="s">
        <v>165</v>
      </c>
      <c r="D39" s="3" t="s">
        <v>166</v>
      </c>
      <c r="E39" s="3" t="s">
        <v>76</v>
      </c>
      <c r="F39" s="3" t="s">
        <v>167</v>
      </c>
      <c r="G39" s="3" t="s">
        <v>86</v>
      </c>
      <c r="H39" s="3" t="s">
        <v>87</v>
      </c>
      <c r="I39" s="3" t="s">
        <v>88</v>
      </c>
      <c r="J39" s="3" t="s">
        <v>89</v>
      </c>
      <c r="K39" s="3" t="s">
        <v>64</v>
      </c>
      <c r="L39" s="3" t="s">
        <v>65</v>
      </c>
      <c r="M39" s="3" t="s">
        <v>33</v>
      </c>
      <c r="N39" s="3" t="s">
        <v>33</v>
      </c>
      <c r="O39" s="4" t="n">
        <v>30</v>
      </c>
      <c r="P39" s="3" t="s">
        <v>66</v>
      </c>
      <c r="Q39" s="5" t="n">
        <v>28500</v>
      </c>
      <c r="R39" s="6" t="n">
        <v>0.02</v>
      </c>
      <c r="S39" s="5" t="n">
        <f aca="false">O39*Q39</f>
        <v>855000</v>
      </c>
      <c r="T39" s="5" t="n">
        <f aca="false">S39*R39</f>
        <v>17100</v>
      </c>
      <c r="U39" s="5" t="n">
        <f aca="false">S39-T39</f>
        <v>837900</v>
      </c>
      <c r="V39" s="3" t="s">
        <v>81</v>
      </c>
    </row>
    <row r="40" customFormat="false" ht="15" hidden="false" customHeight="false" outlineLevel="0" collapsed="false">
      <c r="A40" s="2" t="n">
        <v>46036</v>
      </c>
      <c r="B40" s="3" t="s">
        <v>180</v>
      </c>
      <c r="C40" s="3" t="s">
        <v>165</v>
      </c>
      <c r="D40" s="3" t="s">
        <v>166</v>
      </c>
      <c r="E40" s="3" t="s">
        <v>76</v>
      </c>
      <c r="F40" s="3" t="s">
        <v>167</v>
      </c>
      <c r="G40" s="3" t="s">
        <v>86</v>
      </c>
      <c r="H40" s="3" t="s">
        <v>87</v>
      </c>
      <c r="I40" s="3" t="s">
        <v>88</v>
      </c>
      <c r="J40" s="3" t="s">
        <v>89</v>
      </c>
      <c r="K40" s="3" t="s">
        <v>162</v>
      </c>
      <c r="L40" s="3" t="s">
        <v>163</v>
      </c>
      <c r="M40" s="3" t="s">
        <v>58</v>
      </c>
      <c r="N40" s="3" t="s">
        <v>59</v>
      </c>
      <c r="O40" s="4" t="n">
        <v>234</v>
      </c>
      <c r="P40" s="3" t="s">
        <v>48</v>
      </c>
      <c r="Q40" s="5" t="n">
        <v>48500</v>
      </c>
      <c r="R40" s="6" t="n">
        <v>0.02</v>
      </c>
      <c r="S40" s="5" t="n">
        <f aca="false">O40*Q40</f>
        <v>11349000</v>
      </c>
      <c r="T40" s="5" t="n">
        <f aca="false">S40*R40</f>
        <v>226980</v>
      </c>
      <c r="U40" s="5" t="n">
        <f aca="false">S40-T40</f>
        <v>11122020</v>
      </c>
      <c r="V40" s="3" t="s">
        <v>81</v>
      </c>
    </row>
    <row r="41" customFormat="false" ht="15" hidden="false" customHeight="false" outlineLevel="0" collapsed="false">
      <c r="A41" s="2" t="n">
        <v>46037</v>
      </c>
      <c r="B41" s="3" t="s">
        <v>181</v>
      </c>
      <c r="C41" s="3" t="s">
        <v>141</v>
      </c>
      <c r="D41" s="3" t="s">
        <v>142</v>
      </c>
      <c r="E41" s="3" t="s">
        <v>25</v>
      </c>
      <c r="F41" s="3" t="s">
        <v>143</v>
      </c>
      <c r="G41" s="3" t="s">
        <v>27</v>
      </c>
      <c r="H41" s="3" t="s">
        <v>53</v>
      </c>
      <c r="I41" s="3" t="s">
        <v>54</v>
      </c>
      <c r="J41" s="3" t="s">
        <v>55</v>
      </c>
      <c r="K41" s="3" t="s">
        <v>119</v>
      </c>
      <c r="L41" s="3" t="s">
        <v>120</v>
      </c>
      <c r="M41" s="3" t="s">
        <v>33</v>
      </c>
      <c r="N41" s="3" t="s">
        <v>33</v>
      </c>
      <c r="O41" s="4" t="n">
        <v>185</v>
      </c>
      <c r="P41" s="3" t="s">
        <v>34</v>
      </c>
      <c r="Q41" s="5" t="n">
        <v>18900</v>
      </c>
      <c r="R41" s="6" t="n">
        <v>0.08</v>
      </c>
      <c r="S41" s="5" t="n">
        <f aca="false">O41*Q41</f>
        <v>3496500</v>
      </c>
      <c r="T41" s="5" t="n">
        <f aca="false">S41*R41</f>
        <v>279720</v>
      </c>
      <c r="U41" s="5" t="n">
        <f aca="false">S41-T41</f>
        <v>3216780</v>
      </c>
      <c r="V41" s="3" t="s">
        <v>35</v>
      </c>
    </row>
    <row r="42" customFormat="false" ht="15" hidden="false" customHeight="false" outlineLevel="0" collapsed="false">
      <c r="A42" s="2" t="n">
        <v>46037</v>
      </c>
      <c r="B42" s="3" t="s">
        <v>182</v>
      </c>
      <c r="C42" s="3" t="s">
        <v>50</v>
      </c>
      <c r="D42" s="3" t="s">
        <v>51</v>
      </c>
      <c r="E42" s="3" t="s">
        <v>25</v>
      </c>
      <c r="F42" s="3" t="s">
        <v>52</v>
      </c>
      <c r="G42" s="3" t="s">
        <v>27</v>
      </c>
      <c r="H42" s="3" t="s">
        <v>53</v>
      </c>
      <c r="I42" s="3" t="s">
        <v>54</v>
      </c>
      <c r="J42" s="3" t="s">
        <v>55</v>
      </c>
      <c r="K42" s="3" t="s">
        <v>119</v>
      </c>
      <c r="L42" s="3" t="s">
        <v>120</v>
      </c>
      <c r="M42" s="3" t="s">
        <v>33</v>
      </c>
      <c r="N42" s="3" t="s">
        <v>33</v>
      </c>
      <c r="O42" s="4" t="n">
        <v>157</v>
      </c>
      <c r="P42" s="3" t="s">
        <v>34</v>
      </c>
      <c r="Q42" s="5" t="n">
        <v>18900</v>
      </c>
      <c r="R42" s="6" t="n">
        <v>0.12</v>
      </c>
      <c r="S42" s="5" t="n">
        <f aca="false">O42*Q42</f>
        <v>2967300</v>
      </c>
      <c r="T42" s="5" t="n">
        <f aca="false">S42*R42</f>
        <v>356076</v>
      </c>
      <c r="U42" s="5" t="n">
        <f aca="false">S42-T42</f>
        <v>2611224</v>
      </c>
      <c r="V42" s="3" t="s">
        <v>35</v>
      </c>
    </row>
    <row r="43" customFormat="false" ht="15" hidden="false" customHeight="false" outlineLevel="0" collapsed="false">
      <c r="A43" s="2" t="n">
        <v>46038</v>
      </c>
      <c r="B43" s="3" t="s">
        <v>183</v>
      </c>
      <c r="C43" s="3" t="s">
        <v>83</v>
      </c>
      <c r="D43" s="3" t="s">
        <v>84</v>
      </c>
      <c r="E43" s="3" t="s">
        <v>76</v>
      </c>
      <c r="F43" s="3" t="s">
        <v>85</v>
      </c>
      <c r="G43" s="3" t="s">
        <v>86</v>
      </c>
      <c r="H43" s="3" t="s">
        <v>87</v>
      </c>
      <c r="I43" s="3" t="s">
        <v>88</v>
      </c>
      <c r="J43" s="3" t="s">
        <v>89</v>
      </c>
      <c r="K43" s="3" t="s">
        <v>64</v>
      </c>
      <c r="L43" s="3" t="s">
        <v>65</v>
      </c>
      <c r="M43" s="3" t="s">
        <v>33</v>
      </c>
      <c r="N43" s="3" t="s">
        <v>33</v>
      </c>
      <c r="O43" s="4" t="n">
        <v>61</v>
      </c>
      <c r="P43" s="3" t="s">
        <v>66</v>
      </c>
      <c r="Q43" s="5" t="n">
        <v>28500</v>
      </c>
      <c r="R43" s="6" t="n">
        <v>0.02</v>
      </c>
      <c r="S43" s="5" t="n">
        <f aca="false">O43*Q43</f>
        <v>1738500</v>
      </c>
      <c r="T43" s="5" t="n">
        <f aca="false">S43*R43</f>
        <v>34770</v>
      </c>
      <c r="U43" s="5" t="n">
        <f aca="false">S43-T43</f>
        <v>1703730</v>
      </c>
      <c r="V43" s="3" t="s">
        <v>81</v>
      </c>
    </row>
    <row r="44" customFormat="false" ht="15" hidden="false" customHeight="false" outlineLevel="0" collapsed="false">
      <c r="A44" s="2" t="n">
        <v>46038</v>
      </c>
      <c r="B44" s="3" t="s">
        <v>184</v>
      </c>
      <c r="C44" s="3" t="s">
        <v>74</v>
      </c>
      <c r="D44" s="3" t="s">
        <v>75</v>
      </c>
      <c r="E44" s="3" t="s">
        <v>76</v>
      </c>
      <c r="F44" s="3" t="s">
        <v>26</v>
      </c>
      <c r="G44" s="3" t="s">
        <v>77</v>
      </c>
      <c r="H44" s="3" t="s">
        <v>78</v>
      </c>
      <c r="I44" s="3" t="s">
        <v>79</v>
      </c>
      <c r="J44" s="3" t="s">
        <v>80</v>
      </c>
      <c r="K44" s="3" t="s">
        <v>90</v>
      </c>
      <c r="L44" s="3" t="s">
        <v>91</v>
      </c>
      <c r="M44" s="3" t="s">
        <v>92</v>
      </c>
      <c r="N44" s="3" t="s">
        <v>59</v>
      </c>
      <c r="O44" s="4" t="n">
        <v>91</v>
      </c>
      <c r="P44" s="3" t="s">
        <v>48</v>
      </c>
      <c r="Q44" s="5" t="n">
        <v>96500</v>
      </c>
      <c r="R44" s="6" t="n">
        <v>0</v>
      </c>
      <c r="S44" s="5" t="n">
        <f aca="false">O44*Q44</f>
        <v>8781500</v>
      </c>
      <c r="T44" s="5" t="n">
        <f aca="false">S44*R44</f>
        <v>0</v>
      </c>
      <c r="U44" s="5" t="n">
        <f aca="false">S44-T44</f>
        <v>8781500</v>
      </c>
      <c r="V44" s="3" t="s">
        <v>81</v>
      </c>
    </row>
    <row r="45" customFormat="false" ht="15" hidden="false" customHeight="false" outlineLevel="0" collapsed="false">
      <c r="A45" s="2" t="n">
        <v>46038</v>
      </c>
      <c r="B45" s="3" t="s">
        <v>185</v>
      </c>
      <c r="C45" s="3" t="s">
        <v>113</v>
      </c>
      <c r="D45" s="3" t="s">
        <v>114</v>
      </c>
      <c r="E45" s="3" t="s">
        <v>25</v>
      </c>
      <c r="F45" s="3" t="s">
        <v>85</v>
      </c>
      <c r="G45" s="3" t="s">
        <v>27</v>
      </c>
      <c r="H45" s="3" t="s">
        <v>53</v>
      </c>
      <c r="I45" s="3" t="s">
        <v>54</v>
      </c>
      <c r="J45" s="3" t="s">
        <v>55</v>
      </c>
      <c r="K45" s="3" t="s">
        <v>162</v>
      </c>
      <c r="L45" s="3" t="s">
        <v>163</v>
      </c>
      <c r="M45" s="3" t="s">
        <v>58</v>
      </c>
      <c r="N45" s="3" t="s">
        <v>59</v>
      </c>
      <c r="O45" s="4" t="n">
        <v>57</v>
      </c>
      <c r="P45" s="3" t="s">
        <v>48</v>
      </c>
      <c r="Q45" s="5" t="n">
        <v>48500</v>
      </c>
      <c r="R45" s="6" t="n">
        <v>0.15</v>
      </c>
      <c r="S45" s="5" t="n">
        <f aca="false">O45*Q45</f>
        <v>2764500</v>
      </c>
      <c r="T45" s="5" t="n">
        <f aca="false">S45*R45</f>
        <v>414675</v>
      </c>
      <c r="U45" s="5" t="n">
        <f aca="false">S45-T45</f>
        <v>2349825</v>
      </c>
      <c r="V45" s="3" t="s">
        <v>35</v>
      </c>
    </row>
    <row r="46" customFormat="false" ht="15" hidden="false" customHeight="false" outlineLevel="0" collapsed="false">
      <c r="A46" s="2" t="n">
        <v>46038</v>
      </c>
      <c r="B46" s="3" t="s">
        <v>186</v>
      </c>
      <c r="C46" s="3" t="s">
        <v>113</v>
      </c>
      <c r="D46" s="3" t="s">
        <v>114</v>
      </c>
      <c r="E46" s="3" t="s">
        <v>25</v>
      </c>
      <c r="F46" s="3" t="s">
        <v>85</v>
      </c>
      <c r="G46" s="3" t="s">
        <v>27</v>
      </c>
      <c r="H46" s="3" t="s">
        <v>133</v>
      </c>
      <c r="I46" s="3" t="s">
        <v>134</v>
      </c>
      <c r="J46" s="3" t="s">
        <v>135</v>
      </c>
      <c r="K46" s="3" t="s">
        <v>162</v>
      </c>
      <c r="L46" s="3" t="s">
        <v>163</v>
      </c>
      <c r="M46" s="3" t="s">
        <v>58</v>
      </c>
      <c r="N46" s="3" t="s">
        <v>59</v>
      </c>
      <c r="O46" s="4" t="n">
        <v>134</v>
      </c>
      <c r="P46" s="3" t="s">
        <v>48</v>
      </c>
      <c r="Q46" s="5" t="n">
        <v>48500</v>
      </c>
      <c r="R46" s="6" t="n">
        <v>0.12</v>
      </c>
      <c r="S46" s="5" t="n">
        <f aca="false">O46*Q46</f>
        <v>6499000</v>
      </c>
      <c r="T46" s="5" t="n">
        <f aca="false">S46*R46</f>
        <v>779880</v>
      </c>
      <c r="U46" s="5" t="n">
        <f aca="false">S46-T46</f>
        <v>5719120</v>
      </c>
      <c r="V46" s="3" t="s">
        <v>35</v>
      </c>
    </row>
    <row r="47" customFormat="false" ht="15" hidden="false" customHeight="false" outlineLevel="0" collapsed="false">
      <c r="A47" s="2" t="n">
        <v>46039</v>
      </c>
      <c r="B47" s="3" t="s">
        <v>187</v>
      </c>
      <c r="C47" s="3" t="s">
        <v>188</v>
      </c>
      <c r="D47" s="3" t="s">
        <v>189</v>
      </c>
      <c r="E47" s="3" t="s">
        <v>76</v>
      </c>
      <c r="F47" s="3" t="s">
        <v>85</v>
      </c>
      <c r="G47" s="3" t="s">
        <v>77</v>
      </c>
      <c r="H47" s="3" t="s">
        <v>78</v>
      </c>
      <c r="I47" s="3" t="s">
        <v>79</v>
      </c>
      <c r="J47" s="3" t="s">
        <v>80</v>
      </c>
      <c r="K47" s="3" t="s">
        <v>115</v>
      </c>
      <c r="L47" s="3" t="s">
        <v>116</v>
      </c>
      <c r="M47" s="3" t="s">
        <v>92</v>
      </c>
      <c r="N47" s="3" t="s">
        <v>117</v>
      </c>
      <c r="O47" s="4" t="n">
        <v>135</v>
      </c>
      <c r="P47" s="3" t="s">
        <v>48</v>
      </c>
      <c r="Q47" s="5" t="n">
        <v>42300</v>
      </c>
      <c r="R47" s="6" t="n">
        <v>0.05</v>
      </c>
      <c r="S47" s="5" t="n">
        <f aca="false">O47*Q47</f>
        <v>5710500</v>
      </c>
      <c r="T47" s="5" t="n">
        <f aca="false">S47*R47</f>
        <v>285525</v>
      </c>
      <c r="U47" s="5" t="n">
        <f aca="false">S47-T47</f>
        <v>5424975</v>
      </c>
      <c r="V47" s="3" t="s">
        <v>81</v>
      </c>
    </row>
    <row r="48" customFormat="false" ht="15" hidden="false" customHeight="false" outlineLevel="0" collapsed="false">
      <c r="A48" s="2" t="n">
        <v>46039</v>
      </c>
      <c r="B48" s="3" t="s">
        <v>190</v>
      </c>
      <c r="C48" s="3" t="s">
        <v>104</v>
      </c>
      <c r="D48" s="3" t="s">
        <v>105</v>
      </c>
      <c r="E48" s="3" t="s">
        <v>25</v>
      </c>
      <c r="F48" s="3" t="s">
        <v>106</v>
      </c>
      <c r="G48" s="3" t="s">
        <v>27</v>
      </c>
      <c r="H48" s="3" t="s">
        <v>53</v>
      </c>
      <c r="I48" s="3" t="s">
        <v>54</v>
      </c>
      <c r="J48" s="3" t="s">
        <v>55</v>
      </c>
      <c r="K48" s="3" t="s">
        <v>144</v>
      </c>
      <c r="L48" s="3" t="s">
        <v>145</v>
      </c>
      <c r="M48" s="3" t="s">
        <v>146</v>
      </c>
      <c r="N48" s="3" t="s">
        <v>111</v>
      </c>
      <c r="O48" s="4" t="n">
        <v>154</v>
      </c>
      <c r="P48" s="3" t="s">
        <v>48</v>
      </c>
      <c r="Q48" s="5" t="n">
        <v>89000</v>
      </c>
      <c r="R48" s="6" t="n">
        <v>0.1</v>
      </c>
      <c r="S48" s="5" t="n">
        <f aca="false">O48*Q48</f>
        <v>13706000</v>
      </c>
      <c r="T48" s="5" t="n">
        <f aca="false">S48*R48</f>
        <v>1370600</v>
      </c>
      <c r="U48" s="5" t="n">
        <f aca="false">S48-T48</f>
        <v>12335400</v>
      </c>
      <c r="V48" s="3" t="s">
        <v>35</v>
      </c>
    </row>
    <row r="49" customFormat="false" ht="15" hidden="false" customHeight="false" outlineLevel="0" collapsed="false">
      <c r="A49" s="2" t="n">
        <v>46039</v>
      </c>
      <c r="B49" s="3" t="s">
        <v>191</v>
      </c>
      <c r="C49" s="3" t="s">
        <v>104</v>
      </c>
      <c r="D49" s="3" t="s">
        <v>105</v>
      </c>
      <c r="E49" s="3" t="s">
        <v>25</v>
      </c>
      <c r="F49" s="3" t="s">
        <v>106</v>
      </c>
      <c r="G49" s="3" t="s">
        <v>27</v>
      </c>
      <c r="H49" s="3" t="s">
        <v>28</v>
      </c>
      <c r="I49" s="3" t="s">
        <v>29</v>
      </c>
      <c r="J49" s="3" t="s">
        <v>30</v>
      </c>
      <c r="K49" s="3" t="s">
        <v>192</v>
      </c>
      <c r="L49" s="3" t="s">
        <v>193</v>
      </c>
      <c r="M49" s="3" t="s">
        <v>46</v>
      </c>
      <c r="N49" s="3" t="s">
        <v>194</v>
      </c>
      <c r="O49" s="4" t="n">
        <v>61</v>
      </c>
      <c r="P49" s="3" t="s">
        <v>48</v>
      </c>
      <c r="Q49" s="5" t="n">
        <v>168000</v>
      </c>
      <c r="R49" s="6" t="n">
        <v>0.12</v>
      </c>
      <c r="S49" s="5" t="n">
        <f aca="false">O49*Q49</f>
        <v>10248000</v>
      </c>
      <c r="T49" s="5" t="n">
        <f aca="false">S49*R49</f>
        <v>1229760</v>
      </c>
      <c r="U49" s="5" t="n">
        <f aca="false">S49-T49</f>
        <v>9018240</v>
      </c>
      <c r="V49" s="3" t="s">
        <v>35</v>
      </c>
    </row>
    <row r="50" customFormat="false" ht="15" hidden="false" customHeight="false" outlineLevel="0" collapsed="false">
      <c r="A50" s="2" t="n">
        <v>46039</v>
      </c>
      <c r="B50" s="3" t="s">
        <v>195</v>
      </c>
      <c r="C50" s="3" t="s">
        <v>101</v>
      </c>
      <c r="D50" s="3" t="s">
        <v>102</v>
      </c>
      <c r="E50" s="3" t="s">
        <v>25</v>
      </c>
      <c r="F50" s="3" t="s">
        <v>40</v>
      </c>
      <c r="G50" s="3" t="s">
        <v>27</v>
      </c>
      <c r="H50" s="3" t="s">
        <v>28</v>
      </c>
      <c r="I50" s="3" t="s">
        <v>29</v>
      </c>
      <c r="J50" s="3" t="s">
        <v>30</v>
      </c>
      <c r="K50" s="3" t="s">
        <v>148</v>
      </c>
      <c r="L50" s="3" t="s">
        <v>149</v>
      </c>
      <c r="M50" s="3" t="s">
        <v>130</v>
      </c>
      <c r="N50" s="3" t="s">
        <v>131</v>
      </c>
      <c r="O50" s="4" t="n">
        <v>140</v>
      </c>
      <c r="P50" s="3" t="s">
        <v>48</v>
      </c>
      <c r="Q50" s="5" t="n">
        <v>78900</v>
      </c>
      <c r="R50" s="6" t="n">
        <v>0.12</v>
      </c>
      <c r="S50" s="5" t="n">
        <f aca="false">O50*Q50</f>
        <v>11046000</v>
      </c>
      <c r="T50" s="5" t="n">
        <f aca="false">S50*R50</f>
        <v>1325520</v>
      </c>
      <c r="U50" s="5" t="n">
        <f aca="false">S50-T50</f>
        <v>9720480</v>
      </c>
      <c r="V50" s="3" t="s">
        <v>35</v>
      </c>
    </row>
    <row r="51" customFormat="false" ht="15" hidden="false" customHeight="false" outlineLevel="0" collapsed="false">
      <c r="A51" s="2" t="n">
        <v>46040</v>
      </c>
      <c r="B51" s="3" t="s">
        <v>196</v>
      </c>
      <c r="C51" s="3" t="s">
        <v>101</v>
      </c>
      <c r="D51" s="3" t="s">
        <v>102</v>
      </c>
      <c r="E51" s="3" t="s">
        <v>25</v>
      </c>
      <c r="F51" s="3" t="s">
        <v>40</v>
      </c>
      <c r="G51" s="3" t="s">
        <v>27</v>
      </c>
      <c r="H51" s="3" t="s">
        <v>133</v>
      </c>
      <c r="I51" s="3" t="s">
        <v>134</v>
      </c>
      <c r="J51" s="3" t="s">
        <v>135</v>
      </c>
      <c r="K51" s="3" t="s">
        <v>115</v>
      </c>
      <c r="L51" s="3" t="s">
        <v>116</v>
      </c>
      <c r="M51" s="3" t="s">
        <v>92</v>
      </c>
      <c r="N51" s="3" t="s">
        <v>117</v>
      </c>
      <c r="O51" s="4" t="n">
        <v>170</v>
      </c>
      <c r="P51" s="3" t="s">
        <v>48</v>
      </c>
      <c r="Q51" s="5" t="n">
        <v>42300</v>
      </c>
      <c r="R51" s="6" t="n">
        <v>0.08</v>
      </c>
      <c r="S51" s="5" t="n">
        <f aca="false">O51*Q51</f>
        <v>7191000</v>
      </c>
      <c r="T51" s="5" t="n">
        <f aca="false">S51*R51</f>
        <v>575280</v>
      </c>
      <c r="U51" s="5" t="n">
        <f aca="false">S51-T51</f>
        <v>6615720</v>
      </c>
      <c r="V51" s="3" t="s">
        <v>35</v>
      </c>
    </row>
    <row r="52" customFormat="false" ht="15" hidden="false" customHeight="false" outlineLevel="0" collapsed="false">
      <c r="A52" s="2" t="n">
        <v>46040</v>
      </c>
      <c r="B52" s="3" t="s">
        <v>197</v>
      </c>
      <c r="C52" s="3" t="s">
        <v>74</v>
      </c>
      <c r="D52" s="3" t="s">
        <v>75</v>
      </c>
      <c r="E52" s="3" t="s">
        <v>76</v>
      </c>
      <c r="F52" s="3" t="s">
        <v>26</v>
      </c>
      <c r="G52" s="3" t="s">
        <v>77</v>
      </c>
      <c r="H52" s="3" t="s">
        <v>78</v>
      </c>
      <c r="I52" s="3" t="s">
        <v>79</v>
      </c>
      <c r="J52" s="3" t="s">
        <v>80</v>
      </c>
      <c r="K52" s="3" t="s">
        <v>119</v>
      </c>
      <c r="L52" s="3" t="s">
        <v>120</v>
      </c>
      <c r="M52" s="3" t="s">
        <v>33</v>
      </c>
      <c r="N52" s="3" t="s">
        <v>33</v>
      </c>
      <c r="O52" s="4" t="n">
        <v>38</v>
      </c>
      <c r="P52" s="3" t="s">
        <v>34</v>
      </c>
      <c r="Q52" s="5" t="n">
        <v>18900</v>
      </c>
      <c r="R52" s="6" t="n">
        <v>0</v>
      </c>
      <c r="S52" s="5" t="n">
        <f aca="false">O52*Q52</f>
        <v>718200</v>
      </c>
      <c r="T52" s="5" t="n">
        <f aca="false">S52*R52</f>
        <v>0</v>
      </c>
      <c r="U52" s="5" t="n">
        <f aca="false">S52-T52</f>
        <v>718200</v>
      </c>
      <c r="V52" s="3" t="s">
        <v>81</v>
      </c>
    </row>
    <row r="53" customFormat="false" ht="15" hidden="false" customHeight="false" outlineLevel="0" collapsed="false">
      <c r="A53" s="2" t="n">
        <v>46040</v>
      </c>
      <c r="B53" s="3" t="s">
        <v>198</v>
      </c>
      <c r="C53" s="3" t="s">
        <v>83</v>
      </c>
      <c r="D53" s="3" t="s">
        <v>84</v>
      </c>
      <c r="E53" s="3" t="s">
        <v>76</v>
      </c>
      <c r="F53" s="3" t="s">
        <v>85</v>
      </c>
      <c r="G53" s="3" t="s">
        <v>86</v>
      </c>
      <c r="H53" s="3" t="s">
        <v>87</v>
      </c>
      <c r="I53" s="3" t="s">
        <v>88</v>
      </c>
      <c r="J53" s="3" t="s">
        <v>89</v>
      </c>
      <c r="K53" s="3" t="s">
        <v>56</v>
      </c>
      <c r="L53" s="3" t="s">
        <v>57</v>
      </c>
      <c r="M53" s="3" t="s">
        <v>58</v>
      </c>
      <c r="N53" s="3" t="s">
        <v>59</v>
      </c>
      <c r="O53" s="4" t="n">
        <v>564</v>
      </c>
      <c r="P53" s="3" t="s">
        <v>48</v>
      </c>
      <c r="Q53" s="5" t="n">
        <v>52800</v>
      </c>
      <c r="R53" s="6" t="n">
        <v>0.1</v>
      </c>
      <c r="S53" s="5" t="n">
        <f aca="false">O53*Q53</f>
        <v>29779200</v>
      </c>
      <c r="T53" s="5" t="n">
        <f aca="false">S53*R53</f>
        <v>2977920</v>
      </c>
      <c r="U53" s="5" t="n">
        <f aca="false">S53-T53</f>
        <v>26801280</v>
      </c>
      <c r="V53" s="3" t="s">
        <v>81</v>
      </c>
    </row>
    <row r="54" customFormat="false" ht="15" hidden="false" customHeight="false" outlineLevel="0" collapsed="false">
      <c r="A54" s="2" t="n">
        <v>46040</v>
      </c>
      <c r="B54" s="3" t="s">
        <v>199</v>
      </c>
      <c r="C54" s="3" t="s">
        <v>165</v>
      </c>
      <c r="D54" s="3" t="s">
        <v>166</v>
      </c>
      <c r="E54" s="3" t="s">
        <v>76</v>
      </c>
      <c r="F54" s="3" t="s">
        <v>167</v>
      </c>
      <c r="G54" s="3" t="s">
        <v>86</v>
      </c>
      <c r="H54" s="3" t="s">
        <v>87</v>
      </c>
      <c r="I54" s="3" t="s">
        <v>88</v>
      </c>
      <c r="J54" s="3" t="s">
        <v>89</v>
      </c>
      <c r="K54" s="3" t="s">
        <v>98</v>
      </c>
      <c r="L54" s="3" t="s">
        <v>99</v>
      </c>
      <c r="M54" s="3" t="s">
        <v>46</v>
      </c>
      <c r="N54" s="3" t="s">
        <v>47</v>
      </c>
      <c r="O54" s="4" t="n">
        <v>473</v>
      </c>
      <c r="P54" s="3" t="s">
        <v>48</v>
      </c>
      <c r="Q54" s="5" t="n">
        <v>138500</v>
      </c>
      <c r="R54" s="6" t="n">
        <v>0.08</v>
      </c>
      <c r="S54" s="5" t="n">
        <f aca="false">O54*Q54</f>
        <v>65510500</v>
      </c>
      <c r="T54" s="5" t="n">
        <f aca="false">S54*R54</f>
        <v>5240840</v>
      </c>
      <c r="U54" s="5" t="n">
        <f aca="false">S54-T54</f>
        <v>60269660</v>
      </c>
      <c r="V54" s="3" t="s">
        <v>81</v>
      </c>
    </row>
    <row r="55" customFormat="false" ht="15" hidden="false" customHeight="false" outlineLevel="0" collapsed="false">
      <c r="A55" s="2" t="n">
        <v>46041</v>
      </c>
      <c r="B55" s="3" t="s">
        <v>200</v>
      </c>
      <c r="C55" s="3" t="s">
        <v>113</v>
      </c>
      <c r="D55" s="3" t="s">
        <v>114</v>
      </c>
      <c r="E55" s="3" t="s">
        <v>25</v>
      </c>
      <c r="F55" s="3" t="s">
        <v>85</v>
      </c>
      <c r="G55" s="3" t="s">
        <v>27</v>
      </c>
      <c r="H55" s="3" t="s">
        <v>53</v>
      </c>
      <c r="I55" s="3" t="s">
        <v>54</v>
      </c>
      <c r="J55" s="3" t="s">
        <v>55</v>
      </c>
      <c r="K55" s="3" t="s">
        <v>148</v>
      </c>
      <c r="L55" s="3" t="s">
        <v>149</v>
      </c>
      <c r="M55" s="3" t="s">
        <v>130</v>
      </c>
      <c r="N55" s="3" t="s">
        <v>131</v>
      </c>
      <c r="O55" s="4" t="n">
        <v>159</v>
      </c>
      <c r="P55" s="3" t="s">
        <v>48</v>
      </c>
      <c r="Q55" s="5" t="n">
        <v>78900</v>
      </c>
      <c r="R55" s="6" t="n">
        <v>0.1</v>
      </c>
      <c r="S55" s="5" t="n">
        <f aca="false">O55*Q55</f>
        <v>12545100</v>
      </c>
      <c r="T55" s="5" t="n">
        <f aca="false">S55*R55</f>
        <v>1254510</v>
      </c>
      <c r="U55" s="5" t="n">
        <f aca="false">S55-T55</f>
        <v>11290590</v>
      </c>
      <c r="V55" s="3" t="s">
        <v>35</v>
      </c>
    </row>
    <row r="56" customFormat="false" ht="15" hidden="false" customHeight="false" outlineLevel="0" collapsed="false">
      <c r="A56" s="2" t="n">
        <v>46041</v>
      </c>
      <c r="B56" s="3" t="s">
        <v>201</v>
      </c>
      <c r="C56" s="3" t="s">
        <v>113</v>
      </c>
      <c r="D56" s="3" t="s">
        <v>114</v>
      </c>
      <c r="E56" s="3" t="s">
        <v>25</v>
      </c>
      <c r="F56" s="3" t="s">
        <v>85</v>
      </c>
      <c r="G56" s="3" t="s">
        <v>27</v>
      </c>
      <c r="H56" s="3" t="s">
        <v>28</v>
      </c>
      <c r="I56" s="3" t="s">
        <v>29</v>
      </c>
      <c r="J56" s="3" t="s">
        <v>30</v>
      </c>
      <c r="K56" s="3" t="s">
        <v>31</v>
      </c>
      <c r="L56" s="3" t="s">
        <v>32</v>
      </c>
      <c r="M56" s="3" t="s">
        <v>33</v>
      </c>
      <c r="N56" s="3" t="s">
        <v>33</v>
      </c>
      <c r="O56" s="4" t="n">
        <v>82</v>
      </c>
      <c r="P56" s="3" t="s">
        <v>34</v>
      </c>
      <c r="Q56" s="5" t="n">
        <v>34200</v>
      </c>
      <c r="R56" s="6" t="n">
        <v>0.12</v>
      </c>
      <c r="S56" s="5" t="n">
        <f aca="false">O56*Q56</f>
        <v>2804400</v>
      </c>
      <c r="T56" s="5" t="n">
        <f aca="false">S56*R56</f>
        <v>336528</v>
      </c>
      <c r="U56" s="5" t="n">
        <f aca="false">S56-T56</f>
        <v>2467872</v>
      </c>
      <c r="V56" s="3" t="s">
        <v>35</v>
      </c>
    </row>
    <row r="57" customFormat="false" ht="15" hidden="false" customHeight="false" outlineLevel="0" collapsed="false">
      <c r="A57" s="2" t="n">
        <v>46041</v>
      </c>
      <c r="B57" s="3" t="s">
        <v>202</v>
      </c>
      <c r="C57" s="3" t="s">
        <v>165</v>
      </c>
      <c r="D57" s="3" t="s">
        <v>166</v>
      </c>
      <c r="E57" s="3" t="s">
        <v>76</v>
      </c>
      <c r="F57" s="3" t="s">
        <v>167</v>
      </c>
      <c r="G57" s="3" t="s">
        <v>86</v>
      </c>
      <c r="H57" s="3" t="s">
        <v>87</v>
      </c>
      <c r="I57" s="3" t="s">
        <v>88</v>
      </c>
      <c r="J57" s="3" t="s">
        <v>89</v>
      </c>
      <c r="K57" s="3" t="s">
        <v>31</v>
      </c>
      <c r="L57" s="3" t="s">
        <v>32</v>
      </c>
      <c r="M57" s="3" t="s">
        <v>33</v>
      </c>
      <c r="N57" s="3" t="s">
        <v>33</v>
      </c>
      <c r="O57" s="4" t="n">
        <v>43</v>
      </c>
      <c r="P57" s="3" t="s">
        <v>34</v>
      </c>
      <c r="Q57" s="5" t="n">
        <v>34200</v>
      </c>
      <c r="R57" s="6" t="n">
        <v>0.02</v>
      </c>
      <c r="S57" s="5" t="n">
        <f aca="false">O57*Q57</f>
        <v>1470600</v>
      </c>
      <c r="T57" s="5" t="n">
        <f aca="false">S57*R57</f>
        <v>29412</v>
      </c>
      <c r="U57" s="5" t="n">
        <f aca="false">S57-T57</f>
        <v>1441188</v>
      </c>
      <c r="V57" s="3" t="s">
        <v>81</v>
      </c>
    </row>
    <row r="58" customFormat="false" ht="15" hidden="false" customHeight="false" outlineLevel="0" collapsed="false">
      <c r="A58" s="2" t="n">
        <v>46041</v>
      </c>
      <c r="B58" s="3" t="s">
        <v>203</v>
      </c>
      <c r="C58" s="3" t="s">
        <v>141</v>
      </c>
      <c r="D58" s="3" t="s">
        <v>142</v>
      </c>
      <c r="E58" s="3" t="s">
        <v>25</v>
      </c>
      <c r="F58" s="3" t="s">
        <v>143</v>
      </c>
      <c r="G58" s="3" t="s">
        <v>27</v>
      </c>
      <c r="H58" s="3" t="s">
        <v>28</v>
      </c>
      <c r="I58" s="3" t="s">
        <v>29</v>
      </c>
      <c r="J58" s="3" t="s">
        <v>30</v>
      </c>
      <c r="K58" s="3" t="s">
        <v>115</v>
      </c>
      <c r="L58" s="3" t="s">
        <v>116</v>
      </c>
      <c r="M58" s="3" t="s">
        <v>92</v>
      </c>
      <c r="N58" s="3" t="s">
        <v>117</v>
      </c>
      <c r="O58" s="4" t="n">
        <v>105</v>
      </c>
      <c r="P58" s="3" t="s">
        <v>48</v>
      </c>
      <c r="Q58" s="5" t="n">
        <v>42300</v>
      </c>
      <c r="R58" s="6" t="n">
        <v>0.1</v>
      </c>
      <c r="S58" s="5" t="n">
        <f aca="false">O58*Q58</f>
        <v>4441500</v>
      </c>
      <c r="T58" s="5" t="n">
        <f aca="false">S58*R58</f>
        <v>444150</v>
      </c>
      <c r="U58" s="5" t="n">
        <f aca="false">S58-T58</f>
        <v>3997350</v>
      </c>
      <c r="V58" s="3" t="s">
        <v>35</v>
      </c>
    </row>
    <row r="59" customFormat="false" ht="15" hidden="false" customHeight="false" outlineLevel="0" collapsed="false">
      <c r="A59" s="2" t="n">
        <v>46041</v>
      </c>
      <c r="B59" s="3" t="s">
        <v>204</v>
      </c>
      <c r="C59" s="3" t="s">
        <v>37</v>
      </c>
      <c r="D59" s="3" t="s">
        <v>38</v>
      </c>
      <c r="E59" s="3" t="s">
        <v>39</v>
      </c>
      <c r="F59" s="3" t="s">
        <v>40</v>
      </c>
      <c r="G59" s="3" t="s">
        <v>39</v>
      </c>
      <c r="H59" s="3" t="s">
        <v>68</v>
      </c>
      <c r="I59" s="3" t="s">
        <v>69</v>
      </c>
      <c r="J59" s="3" t="s">
        <v>70</v>
      </c>
      <c r="K59" s="3" t="s">
        <v>162</v>
      </c>
      <c r="L59" s="3" t="s">
        <v>163</v>
      </c>
      <c r="M59" s="3" t="s">
        <v>58</v>
      </c>
      <c r="N59" s="3" t="s">
        <v>59</v>
      </c>
      <c r="O59" s="4" t="n">
        <v>136</v>
      </c>
      <c r="P59" s="3" t="s">
        <v>48</v>
      </c>
      <c r="Q59" s="5" t="n">
        <v>48500</v>
      </c>
      <c r="R59" s="6" t="n">
        <v>0.05</v>
      </c>
      <c r="S59" s="5" t="n">
        <f aca="false">O59*Q59</f>
        <v>6596000</v>
      </c>
      <c r="T59" s="5" t="n">
        <f aca="false">S59*R59</f>
        <v>329800</v>
      </c>
      <c r="U59" s="5" t="n">
        <f aca="false">S59-T59</f>
        <v>6266200</v>
      </c>
      <c r="V59" s="3" t="s">
        <v>39</v>
      </c>
    </row>
    <row r="60" customFormat="false" ht="15" hidden="false" customHeight="false" outlineLevel="0" collapsed="false">
      <c r="A60" s="2" t="n">
        <v>46042</v>
      </c>
      <c r="B60" s="3" t="s">
        <v>205</v>
      </c>
      <c r="C60" s="3" t="s">
        <v>188</v>
      </c>
      <c r="D60" s="3" t="s">
        <v>189</v>
      </c>
      <c r="E60" s="3" t="s">
        <v>76</v>
      </c>
      <c r="F60" s="3" t="s">
        <v>85</v>
      </c>
      <c r="G60" s="3" t="s">
        <v>77</v>
      </c>
      <c r="H60" s="3" t="s">
        <v>78</v>
      </c>
      <c r="I60" s="3" t="s">
        <v>79</v>
      </c>
      <c r="J60" s="3" t="s">
        <v>80</v>
      </c>
      <c r="K60" s="3" t="s">
        <v>56</v>
      </c>
      <c r="L60" s="3" t="s">
        <v>57</v>
      </c>
      <c r="M60" s="3" t="s">
        <v>58</v>
      </c>
      <c r="N60" s="3" t="s">
        <v>59</v>
      </c>
      <c r="O60" s="4" t="n">
        <v>510</v>
      </c>
      <c r="P60" s="3" t="s">
        <v>48</v>
      </c>
      <c r="Q60" s="5" t="n">
        <v>52800</v>
      </c>
      <c r="R60" s="6" t="n">
        <v>0.08</v>
      </c>
      <c r="S60" s="5" t="n">
        <f aca="false">O60*Q60</f>
        <v>26928000</v>
      </c>
      <c r="T60" s="5" t="n">
        <f aca="false">S60*R60</f>
        <v>2154240</v>
      </c>
      <c r="U60" s="5" t="n">
        <f aca="false">S60-T60</f>
        <v>24773760</v>
      </c>
      <c r="V60" s="3" t="s">
        <v>81</v>
      </c>
    </row>
    <row r="61" customFormat="false" ht="15" hidden="false" customHeight="false" outlineLevel="0" collapsed="false">
      <c r="A61" s="2" t="n">
        <v>46043</v>
      </c>
      <c r="B61" s="3" t="s">
        <v>206</v>
      </c>
      <c r="C61" s="3" t="s">
        <v>126</v>
      </c>
      <c r="D61" s="3" t="s">
        <v>127</v>
      </c>
      <c r="E61" s="3" t="s">
        <v>76</v>
      </c>
      <c r="F61" s="3" t="s">
        <v>40</v>
      </c>
      <c r="G61" s="3" t="s">
        <v>77</v>
      </c>
      <c r="H61" s="3" t="s">
        <v>78</v>
      </c>
      <c r="I61" s="3" t="s">
        <v>79</v>
      </c>
      <c r="J61" s="3" t="s">
        <v>80</v>
      </c>
      <c r="K61" s="3" t="s">
        <v>162</v>
      </c>
      <c r="L61" s="3" t="s">
        <v>163</v>
      </c>
      <c r="M61" s="3" t="s">
        <v>58</v>
      </c>
      <c r="N61" s="3" t="s">
        <v>59</v>
      </c>
      <c r="O61" s="4" t="n">
        <v>403</v>
      </c>
      <c r="P61" s="3" t="s">
        <v>48</v>
      </c>
      <c r="Q61" s="5" t="n">
        <v>48500</v>
      </c>
      <c r="R61" s="6" t="n">
        <v>0.08</v>
      </c>
      <c r="S61" s="5" t="n">
        <f aca="false">O61*Q61</f>
        <v>19545500</v>
      </c>
      <c r="T61" s="5" t="n">
        <f aca="false">S61*R61</f>
        <v>1563640</v>
      </c>
      <c r="U61" s="5" t="n">
        <f aca="false">S61-T61</f>
        <v>17981860</v>
      </c>
      <c r="V61" s="3" t="s">
        <v>81</v>
      </c>
    </row>
    <row r="62" customFormat="false" ht="15" hidden="false" customHeight="false" outlineLevel="0" collapsed="false">
      <c r="A62" s="2" t="n">
        <v>46043</v>
      </c>
      <c r="B62" s="3" t="s">
        <v>207</v>
      </c>
      <c r="C62" s="3" t="s">
        <v>104</v>
      </c>
      <c r="D62" s="3" t="s">
        <v>105</v>
      </c>
      <c r="E62" s="3" t="s">
        <v>25</v>
      </c>
      <c r="F62" s="3" t="s">
        <v>106</v>
      </c>
      <c r="G62" s="3" t="s">
        <v>27</v>
      </c>
      <c r="H62" s="3" t="s">
        <v>133</v>
      </c>
      <c r="I62" s="3" t="s">
        <v>134</v>
      </c>
      <c r="J62" s="3" t="s">
        <v>135</v>
      </c>
      <c r="K62" s="3" t="s">
        <v>115</v>
      </c>
      <c r="L62" s="3" t="s">
        <v>116</v>
      </c>
      <c r="M62" s="3" t="s">
        <v>92</v>
      </c>
      <c r="N62" s="3" t="s">
        <v>117</v>
      </c>
      <c r="O62" s="4" t="n">
        <v>148</v>
      </c>
      <c r="P62" s="3" t="s">
        <v>48</v>
      </c>
      <c r="Q62" s="5" t="n">
        <v>42300</v>
      </c>
      <c r="R62" s="6" t="n">
        <v>0.12</v>
      </c>
      <c r="S62" s="5" t="n">
        <f aca="false">O62*Q62</f>
        <v>6260400</v>
      </c>
      <c r="T62" s="5" t="n">
        <f aca="false">S62*R62</f>
        <v>751248</v>
      </c>
      <c r="U62" s="5" t="n">
        <f aca="false">S62-T62</f>
        <v>5509152</v>
      </c>
      <c r="V62" s="3" t="s">
        <v>35</v>
      </c>
    </row>
    <row r="63" customFormat="false" ht="15" hidden="false" customHeight="false" outlineLevel="0" collapsed="false">
      <c r="A63" s="2" t="n">
        <v>46044</v>
      </c>
      <c r="B63" s="3" t="s">
        <v>208</v>
      </c>
      <c r="C63" s="3" t="s">
        <v>156</v>
      </c>
      <c r="D63" s="3" t="s">
        <v>157</v>
      </c>
      <c r="E63" s="3" t="s">
        <v>76</v>
      </c>
      <c r="F63" s="3" t="s">
        <v>40</v>
      </c>
      <c r="G63" s="3" t="s">
        <v>77</v>
      </c>
      <c r="H63" s="3" t="s">
        <v>78</v>
      </c>
      <c r="I63" s="3" t="s">
        <v>79</v>
      </c>
      <c r="J63" s="3" t="s">
        <v>80</v>
      </c>
      <c r="K63" s="3" t="s">
        <v>108</v>
      </c>
      <c r="L63" s="3" t="s">
        <v>109</v>
      </c>
      <c r="M63" s="3" t="s">
        <v>110</v>
      </c>
      <c r="N63" s="3" t="s">
        <v>111</v>
      </c>
      <c r="O63" s="4" t="n">
        <v>207</v>
      </c>
      <c r="P63" s="3" t="s">
        <v>48</v>
      </c>
      <c r="Q63" s="5" t="n">
        <v>112000</v>
      </c>
      <c r="R63" s="6" t="n">
        <v>0.03</v>
      </c>
      <c r="S63" s="5" t="n">
        <f aca="false">O63*Q63</f>
        <v>23184000</v>
      </c>
      <c r="T63" s="5" t="n">
        <f aca="false">S63*R63</f>
        <v>695520</v>
      </c>
      <c r="U63" s="5" t="n">
        <f aca="false">S63-T63</f>
        <v>22488480</v>
      </c>
      <c r="V63" s="3" t="s">
        <v>81</v>
      </c>
    </row>
    <row r="64" customFormat="false" ht="15" hidden="false" customHeight="false" outlineLevel="0" collapsed="false">
      <c r="A64" s="2" t="n">
        <v>46044</v>
      </c>
      <c r="B64" s="3" t="s">
        <v>209</v>
      </c>
      <c r="C64" s="3" t="s">
        <v>113</v>
      </c>
      <c r="D64" s="3" t="s">
        <v>114</v>
      </c>
      <c r="E64" s="3" t="s">
        <v>25</v>
      </c>
      <c r="F64" s="3" t="s">
        <v>85</v>
      </c>
      <c r="G64" s="3" t="s">
        <v>27</v>
      </c>
      <c r="H64" s="3" t="s">
        <v>53</v>
      </c>
      <c r="I64" s="3" t="s">
        <v>54</v>
      </c>
      <c r="J64" s="3" t="s">
        <v>55</v>
      </c>
      <c r="K64" s="3" t="s">
        <v>56</v>
      </c>
      <c r="L64" s="3" t="s">
        <v>57</v>
      </c>
      <c r="M64" s="3" t="s">
        <v>58</v>
      </c>
      <c r="N64" s="3" t="s">
        <v>59</v>
      </c>
      <c r="O64" s="4" t="n">
        <v>148</v>
      </c>
      <c r="P64" s="3" t="s">
        <v>48</v>
      </c>
      <c r="Q64" s="5" t="n">
        <v>52800</v>
      </c>
      <c r="R64" s="6" t="n">
        <v>0.15</v>
      </c>
      <c r="S64" s="5" t="n">
        <f aca="false">O64*Q64</f>
        <v>7814400</v>
      </c>
      <c r="T64" s="5" t="n">
        <f aca="false">S64*R64</f>
        <v>1172160</v>
      </c>
      <c r="U64" s="5" t="n">
        <f aca="false">S64-T64</f>
        <v>6642240</v>
      </c>
      <c r="V64" s="3" t="s">
        <v>35</v>
      </c>
    </row>
    <row r="65" customFormat="false" ht="15" hidden="false" customHeight="false" outlineLevel="0" collapsed="false">
      <c r="A65" s="2" t="n">
        <v>46044</v>
      </c>
      <c r="B65" s="3" t="s">
        <v>210</v>
      </c>
      <c r="C65" s="3" t="s">
        <v>122</v>
      </c>
      <c r="D65" s="3" t="s">
        <v>123</v>
      </c>
      <c r="E65" s="3" t="s">
        <v>76</v>
      </c>
      <c r="F65" s="3" t="s">
        <v>124</v>
      </c>
      <c r="G65" s="3" t="s">
        <v>86</v>
      </c>
      <c r="H65" s="3" t="s">
        <v>87</v>
      </c>
      <c r="I65" s="3" t="s">
        <v>88</v>
      </c>
      <c r="J65" s="3" t="s">
        <v>89</v>
      </c>
      <c r="K65" s="3" t="s">
        <v>56</v>
      </c>
      <c r="L65" s="3" t="s">
        <v>57</v>
      </c>
      <c r="M65" s="3" t="s">
        <v>58</v>
      </c>
      <c r="N65" s="3" t="s">
        <v>59</v>
      </c>
      <c r="O65" s="4" t="n">
        <v>451</v>
      </c>
      <c r="P65" s="3" t="s">
        <v>48</v>
      </c>
      <c r="Q65" s="5" t="n">
        <v>52800</v>
      </c>
      <c r="R65" s="6" t="n">
        <v>0.08</v>
      </c>
      <c r="S65" s="5" t="n">
        <f aca="false">O65*Q65</f>
        <v>23812800</v>
      </c>
      <c r="T65" s="5" t="n">
        <f aca="false">S65*R65</f>
        <v>1905024</v>
      </c>
      <c r="U65" s="5" t="n">
        <f aca="false">S65-T65</f>
        <v>21907776</v>
      </c>
      <c r="V65" s="3" t="s">
        <v>81</v>
      </c>
    </row>
    <row r="66" customFormat="false" ht="15" hidden="false" customHeight="false" outlineLevel="0" collapsed="false">
      <c r="A66" s="2" t="n">
        <v>46044</v>
      </c>
      <c r="B66" s="3" t="s">
        <v>211</v>
      </c>
      <c r="C66" s="3" t="s">
        <v>50</v>
      </c>
      <c r="D66" s="3" t="s">
        <v>51</v>
      </c>
      <c r="E66" s="3" t="s">
        <v>25</v>
      </c>
      <c r="F66" s="3" t="s">
        <v>52</v>
      </c>
      <c r="G66" s="3" t="s">
        <v>27</v>
      </c>
      <c r="H66" s="3" t="s">
        <v>28</v>
      </c>
      <c r="I66" s="3" t="s">
        <v>29</v>
      </c>
      <c r="J66" s="3" t="s">
        <v>30</v>
      </c>
      <c r="K66" s="3" t="s">
        <v>31</v>
      </c>
      <c r="L66" s="3" t="s">
        <v>32</v>
      </c>
      <c r="M66" s="3" t="s">
        <v>33</v>
      </c>
      <c r="N66" s="3" t="s">
        <v>33</v>
      </c>
      <c r="O66" s="4" t="n">
        <v>68</v>
      </c>
      <c r="P66" s="3" t="s">
        <v>34</v>
      </c>
      <c r="Q66" s="5" t="n">
        <v>34200</v>
      </c>
      <c r="R66" s="6" t="n">
        <v>0.12</v>
      </c>
      <c r="S66" s="5" t="n">
        <f aca="false">O66*Q66</f>
        <v>2325600</v>
      </c>
      <c r="T66" s="5" t="n">
        <f aca="false">S66*R66</f>
        <v>279072</v>
      </c>
      <c r="U66" s="5" t="n">
        <f aca="false">S66-T66</f>
        <v>2046528</v>
      </c>
      <c r="V66" s="3" t="s">
        <v>35</v>
      </c>
    </row>
    <row r="67" customFormat="false" ht="15" hidden="false" customHeight="false" outlineLevel="0" collapsed="false">
      <c r="A67" s="2" t="n">
        <v>46045</v>
      </c>
      <c r="B67" s="3" t="s">
        <v>212</v>
      </c>
      <c r="C67" s="3" t="s">
        <v>126</v>
      </c>
      <c r="D67" s="3" t="s">
        <v>127</v>
      </c>
      <c r="E67" s="3" t="s">
        <v>76</v>
      </c>
      <c r="F67" s="3" t="s">
        <v>40</v>
      </c>
      <c r="G67" s="3" t="s">
        <v>77</v>
      </c>
      <c r="H67" s="3" t="s">
        <v>78</v>
      </c>
      <c r="I67" s="3" t="s">
        <v>79</v>
      </c>
      <c r="J67" s="3" t="s">
        <v>80</v>
      </c>
      <c r="K67" s="3" t="s">
        <v>148</v>
      </c>
      <c r="L67" s="3" t="s">
        <v>149</v>
      </c>
      <c r="M67" s="3" t="s">
        <v>130</v>
      </c>
      <c r="N67" s="3" t="s">
        <v>131</v>
      </c>
      <c r="O67" s="4" t="n">
        <v>308</v>
      </c>
      <c r="P67" s="3" t="s">
        <v>48</v>
      </c>
      <c r="Q67" s="5" t="n">
        <v>78900</v>
      </c>
      <c r="R67" s="6" t="n">
        <v>0.05</v>
      </c>
      <c r="S67" s="5" t="n">
        <f aca="false">O67*Q67</f>
        <v>24301200</v>
      </c>
      <c r="T67" s="5" t="n">
        <f aca="false">S67*R67</f>
        <v>1215060</v>
      </c>
      <c r="U67" s="5" t="n">
        <f aca="false">S67-T67</f>
        <v>23086140</v>
      </c>
      <c r="V67" s="3" t="s">
        <v>81</v>
      </c>
    </row>
    <row r="68" customFormat="false" ht="15" hidden="false" customHeight="false" outlineLevel="0" collapsed="false">
      <c r="A68" s="2" t="n">
        <v>46045</v>
      </c>
      <c r="B68" s="3" t="s">
        <v>213</v>
      </c>
      <c r="C68" s="3" t="s">
        <v>141</v>
      </c>
      <c r="D68" s="3" t="s">
        <v>142</v>
      </c>
      <c r="E68" s="3" t="s">
        <v>25</v>
      </c>
      <c r="F68" s="3" t="s">
        <v>143</v>
      </c>
      <c r="G68" s="3" t="s">
        <v>27</v>
      </c>
      <c r="H68" s="3" t="s">
        <v>133</v>
      </c>
      <c r="I68" s="3" t="s">
        <v>134</v>
      </c>
      <c r="J68" s="3" t="s">
        <v>135</v>
      </c>
      <c r="K68" s="3" t="s">
        <v>115</v>
      </c>
      <c r="L68" s="3" t="s">
        <v>116</v>
      </c>
      <c r="M68" s="3" t="s">
        <v>92</v>
      </c>
      <c r="N68" s="3" t="s">
        <v>117</v>
      </c>
      <c r="O68" s="4" t="n">
        <v>116</v>
      </c>
      <c r="P68" s="3" t="s">
        <v>48</v>
      </c>
      <c r="Q68" s="5" t="n">
        <v>42300</v>
      </c>
      <c r="R68" s="6" t="n">
        <v>0.08</v>
      </c>
      <c r="S68" s="5" t="n">
        <f aca="false">O68*Q68</f>
        <v>4906800</v>
      </c>
      <c r="T68" s="5" t="n">
        <f aca="false">S68*R68</f>
        <v>392544</v>
      </c>
      <c r="U68" s="5" t="n">
        <f aca="false">S68-T68</f>
        <v>4514256</v>
      </c>
      <c r="V68" s="3" t="s">
        <v>35</v>
      </c>
    </row>
    <row r="69" customFormat="false" ht="15" hidden="false" customHeight="false" outlineLevel="0" collapsed="false">
      <c r="A69" s="2" t="n">
        <v>46045</v>
      </c>
      <c r="B69" s="3" t="s">
        <v>214</v>
      </c>
      <c r="C69" s="3" t="s">
        <v>37</v>
      </c>
      <c r="D69" s="3" t="s">
        <v>38</v>
      </c>
      <c r="E69" s="3" t="s">
        <v>39</v>
      </c>
      <c r="F69" s="3" t="s">
        <v>40</v>
      </c>
      <c r="G69" s="3" t="s">
        <v>39</v>
      </c>
      <c r="H69" s="3" t="s">
        <v>41</v>
      </c>
      <c r="I69" s="3" t="s">
        <v>42</v>
      </c>
      <c r="J69" s="3" t="s">
        <v>43</v>
      </c>
      <c r="K69" s="3" t="s">
        <v>108</v>
      </c>
      <c r="L69" s="3" t="s">
        <v>109</v>
      </c>
      <c r="M69" s="3" t="s">
        <v>110</v>
      </c>
      <c r="N69" s="3" t="s">
        <v>111</v>
      </c>
      <c r="O69" s="4" t="n">
        <v>110</v>
      </c>
      <c r="P69" s="3" t="s">
        <v>48</v>
      </c>
      <c r="Q69" s="5" t="n">
        <v>112000</v>
      </c>
      <c r="R69" s="6" t="n">
        <v>0.03</v>
      </c>
      <c r="S69" s="5" t="n">
        <f aca="false">O69*Q69</f>
        <v>12320000</v>
      </c>
      <c r="T69" s="5" t="n">
        <f aca="false">S69*R69</f>
        <v>369600</v>
      </c>
      <c r="U69" s="5" t="n">
        <f aca="false">S69-T69</f>
        <v>11950400</v>
      </c>
      <c r="V69" s="3" t="s">
        <v>39</v>
      </c>
    </row>
    <row r="70" customFormat="false" ht="15" hidden="false" customHeight="false" outlineLevel="0" collapsed="false">
      <c r="A70" s="2" t="n">
        <v>46046</v>
      </c>
      <c r="B70" s="3" t="s">
        <v>215</v>
      </c>
      <c r="C70" s="3" t="s">
        <v>156</v>
      </c>
      <c r="D70" s="3" t="s">
        <v>157</v>
      </c>
      <c r="E70" s="3" t="s">
        <v>76</v>
      </c>
      <c r="F70" s="3" t="s">
        <v>40</v>
      </c>
      <c r="G70" s="3" t="s">
        <v>77</v>
      </c>
      <c r="H70" s="3" t="s">
        <v>78</v>
      </c>
      <c r="I70" s="3" t="s">
        <v>79</v>
      </c>
      <c r="J70" s="3" t="s">
        <v>80</v>
      </c>
      <c r="K70" s="3" t="s">
        <v>119</v>
      </c>
      <c r="L70" s="3" t="s">
        <v>120</v>
      </c>
      <c r="M70" s="3" t="s">
        <v>33</v>
      </c>
      <c r="N70" s="3" t="s">
        <v>33</v>
      </c>
      <c r="O70" s="4" t="n">
        <v>79</v>
      </c>
      <c r="P70" s="3" t="s">
        <v>34</v>
      </c>
      <c r="Q70" s="5" t="n">
        <v>18900</v>
      </c>
      <c r="R70" s="6" t="n">
        <v>0</v>
      </c>
      <c r="S70" s="5" t="n">
        <f aca="false">O70*Q70</f>
        <v>1493100</v>
      </c>
      <c r="T70" s="5" t="n">
        <f aca="false">S70*R70</f>
        <v>0</v>
      </c>
      <c r="U70" s="5" t="n">
        <f aca="false">S70-T70</f>
        <v>1493100</v>
      </c>
      <c r="V70" s="3" t="s">
        <v>81</v>
      </c>
    </row>
    <row r="71" customFormat="false" ht="15" hidden="false" customHeight="false" outlineLevel="0" collapsed="false">
      <c r="A71" s="2" t="n">
        <v>46046</v>
      </c>
      <c r="B71" s="3" t="s">
        <v>216</v>
      </c>
      <c r="C71" s="3" t="s">
        <v>50</v>
      </c>
      <c r="D71" s="3" t="s">
        <v>51</v>
      </c>
      <c r="E71" s="3" t="s">
        <v>25</v>
      </c>
      <c r="F71" s="3" t="s">
        <v>52</v>
      </c>
      <c r="G71" s="3" t="s">
        <v>27</v>
      </c>
      <c r="H71" s="3" t="s">
        <v>28</v>
      </c>
      <c r="I71" s="3" t="s">
        <v>29</v>
      </c>
      <c r="J71" s="3" t="s">
        <v>30</v>
      </c>
      <c r="K71" s="3" t="s">
        <v>64</v>
      </c>
      <c r="L71" s="3" t="s">
        <v>65</v>
      </c>
      <c r="M71" s="3" t="s">
        <v>33</v>
      </c>
      <c r="N71" s="3" t="s">
        <v>33</v>
      </c>
      <c r="O71" s="4" t="n">
        <v>107</v>
      </c>
      <c r="P71" s="3" t="s">
        <v>66</v>
      </c>
      <c r="Q71" s="5" t="n">
        <v>28500</v>
      </c>
      <c r="R71" s="6" t="n">
        <v>0.08</v>
      </c>
      <c r="S71" s="5" t="n">
        <f aca="false">O71*Q71</f>
        <v>3049500</v>
      </c>
      <c r="T71" s="5" t="n">
        <f aca="false">S71*R71</f>
        <v>243960</v>
      </c>
      <c r="U71" s="5" t="n">
        <f aca="false">S71-T71</f>
        <v>2805540</v>
      </c>
      <c r="V71" s="3" t="s">
        <v>35</v>
      </c>
    </row>
    <row r="72" customFormat="false" ht="15" hidden="false" customHeight="false" outlineLevel="0" collapsed="false">
      <c r="A72" s="2" t="n">
        <v>46046</v>
      </c>
      <c r="B72" s="3" t="s">
        <v>217</v>
      </c>
      <c r="C72" s="3" t="s">
        <v>37</v>
      </c>
      <c r="D72" s="3" t="s">
        <v>38</v>
      </c>
      <c r="E72" s="3" t="s">
        <v>39</v>
      </c>
      <c r="F72" s="3" t="s">
        <v>40</v>
      </c>
      <c r="G72" s="3" t="s">
        <v>39</v>
      </c>
      <c r="H72" s="3" t="s">
        <v>41</v>
      </c>
      <c r="I72" s="3" t="s">
        <v>42</v>
      </c>
      <c r="J72" s="3" t="s">
        <v>43</v>
      </c>
      <c r="K72" s="3" t="s">
        <v>119</v>
      </c>
      <c r="L72" s="3" t="s">
        <v>120</v>
      </c>
      <c r="M72" s="3" t="s">
        <v>33</v>
      </c>
      <c r="N72" s="3" t="s">
        <v>33</v>
      </c>
      <c r="O72" s="4" t="n">
        <v>165</v>
      </c>
      <c r="P72" s="3" t="s">
        <v>34</v>
      </c>
      <c r="Q72" s="5" t="n">
        <v>18900</v>
      </c>
      <c r="R72" s="6" t="n">
        <v>0.02</v>
      </c>
      <c r="S72" s="5" t="n">
        <f aca="false">O72*Q72</f>
        <v>3118500</v>
      </c>
      <c r="T72" s="5" t="n">
        <f aca="false">S72*R72</f>
        <v>62370</v>
      </c>
      <c r="U72" s="5" t="n">
        <f aca="false">S72-T72</f>
        <v>3056130</v>
      </c>
      <c r="V72" s="3" t="s">
        <v>39</v>
      </c>
    </row>
    <row r="73" customFormat="false" ht="15" hidden="false" customHeight="false" outlineLevel="0" collapsed="false">
      <c r="A73" s="2" t="n">
        <v>46046</v>
      </c>
      <c r="B73" s="3" t="s">
        <v>218</v>
      </c>
      <c r="C73" s="3" t="s">
        <v>94</v>
      </c>
      <c r="D73" s="3" t="s">
        <v>95</v>
      </c>
      <c r="E73" s="3" t="s">
        <v>76</v>
      </c>
      <c r="F73" s="3" t="s">
        <v>96</v>
      </c>
      <c r="G73" s="3" t="s">
        <v>97</v>
      </c>
      <c r="H73" s="3" t="s">
        <v>68</v>
      </c>
      <c r="I73" s="3" t="s">
        <v>69</v>
      </c>
      <c r="J73" s="3" t="s">
        <v>70</v>
      </c>
      <c r="K73" s="3" t="s">
        <v>119</v>
      </c>
      <c r="L73" s="3" t="s">
        <v>120</v>
      </c>
      <c r="M73" s="3" t="s">
        <v>33</v>
      </c>
      <c r="N73" s="3" t="s">
        <v>33</v>
      </c>
      <c r="O73" s="4" t="n">
        <v>38</v>
      </c>
      <c r="P73" s="3" t="s">
        <v>34</v>
      </c>
      <c r="Q73" s="5" t="n">
        <v>18900</v>
      </c>
      <c r="R73" s="6" t="n">
        <v>0</v>
      </c>
      <c r="S73" s="5" t="n">
        <f aca="false">O73*Q73</f>
        <v>718200</v>
      </c>
      <c r="T73" s="5" t="n">
        <f aca="false">S73*R73</f>
        <v>0</v>
      </c>
      <c r="U73" s="5" t="n">
        <f aca="false">S73-T73</f>
        <v>718200</v>
      </c>
      <c r="V73" s="3" t="s">
        <v>81</v>
      </c>
    </row>
    <row r="74" customFormat="false" ht="15" hidden="false" customHeight="false" outlineLevel="0" collapsed="false">
      <c r="A74" s="2" t="n">
        <v>46046</v>
      </c>
      <c r="B74" s="3" t="s">
        <v>219</v>
      </c>
      <c r="C74" s="3" t="s">
        <v>188</v>
      </c>
      <c r="D74" s="3" t="s">
        <v>189</v>
      </c>
      <c r="E74" s="3" t="s">
        <v>76</v>
      </c>
      <c r="F74" s="3" t="s">
        <v>85</v>
      </c>
      <c r="G74" s="3" t="s">
        <v>77</v>
      </c>
      <c r="H74" s="3" t="s">
        <v>78</v>
      </c>
      <c r="I74" s="3" t="s">
        <v>79</v>
      </c>
      <c r="J74" s="3" t="s">
        <v>80</v>
      </c>
      <c r="K74" s="3" t="s">
        <v>56</v>
      </c>
      <c r="L74" s="3" t="s">
        <v>57</v>
      </c>
      <c r="M74" s="3" t="s">
        <v>58</v>
      </c>
      <c r="N74" s="3" t="s">
        <v>59</v>
      </c>
      <c r="O74" s="4" t="n">
        <v>558</v>
      </c>
      <c r="P74" s="3" t="s">
        <v>48</v>
      </c>
      <c r="Q74" s="5" t="n">
        <v>52800</v>
      </c>
      <c r="R74" s="6" t="n">
        <v>0.05</v>
      </c>
      <c r="S74" s="5" t="n">
        <f aca="false">O74*Q74</f>
        <v>29462400</v>
      </c>
      <c r="T74" s="5" t="n">
        <f aca="false">S74*R74</f>
        <v>1473120</v>
      </c>
      <c r="U74" s="5" t="n">
        <f aca="false">S74-T74</f>
        <v>27989280</v>
      </c>
      <c r="V74" s="3" t="s">
        <v>81</v>
      </c>
    </row>
    <row r="75" customFormat="false" ht="15" hidden="false" customHeight="false" outlineLevel="0" collapsed="false">
      <c r="A75" s="2" t="n">
        <v>46047</v>
      </c>
      <c r="B75" s="3" t="s">
        <v>220</v>
      </c>
      <c r="C75" s="3" t="s">
        <v>141</v>
      </c>
      <c r="D75" s="3" t="s">
        <v>142</v>
      </c>
      <c r="E75" s="3" t="s">
        <v>25</v>
      </c>
      <c r="F75" s="3" t="s">
        <v>143</v>
      </c>
      <c r="G75" s="3" t="s">
        <v>27</v>
      </c>
      <c r="H75" s="3" t="s">
        <v>53</v>
      </c>
      <c r="I75" s="3" t="s">
        <v>54</v>
      </c>
      <c r="J75" s="3" t="s">
        <v>55</v>
      </c>
      <c r="K75" s="3" t="s">
        <v>162</v>
      </c>
      <c r="L75" s="3" t="s">
        <v>163</v>
      </c>
      <c r="M75" s="3" t="s">
        <v>58</v>
      </c>
      <c r="N75" s="3" t="s">
        <v>59</v>
      </c>
      <c r="O75" s="4" t="n">
        <v>138</v>
      </c>
      <c r="P75" s="3" t="s">
        <v>48</v>
      </c>
      <c r="Q75" s="5" t="n">
        <v>48500</v>
      </c>
      <c r="R75" s="6" t="n">
        <v>0.08</v>
      </c>
      <c r="S75" s="5" t="n">
        <f aca="false">O75*Q75</f>
        <v>6693000</v>
      </c>
      <c r="T75" s="5" t="n">
        <f aca="false">S75*R75</f>
        <v>535440</v>
      </c>
      <c r="U75" s="5" t="n">
        <f aca="false">S75-T75</f>
        <v>6157560</v>
      </c>
      <c r="V75" s="3" t="s">
        <v>35</v>
      </c>
    </row>
    <row r="76" customFormat="false" ht="15" hidden="false" customHeight="false" outlineLevel="0" collapsed="false">
      <c r="A76" s="2" t="n">
        <v>46047</v>
      </c>
      <c r="B76" s="3" t="s">
        <v>221</v>
      </c>
      <c r="C76" s="3" t="s">
        <v>188</v>
      </c>
      <c r="D76" s="3" t="s">
        <v>189</v>
      </c>
      <c r="E76" s="3" t="s">
        <v>76</v>
      </c>
      <c r="F76" s="3" t="s">
        <v>85</v>
      </c>
      <c r="G76" s="3" t="s">
        <v>77</v>
      </c>
      <c r="H76" s="3" t="s">
        <v>78</v>
      </c>
      <c r="I76" s="3" t="s">
        <v>79</v>
      </c>
      <c r="J76" s="3" t="s">
        <v>80</v>
      </c>
      <c r="K76" s="3" t="s">
        <v>115</v>
      </c>
      <c r="L76" s="3" t="s">
        <v>116</v>
      </c>
      <c r="M76" s="3" t="s">
        <v>92</v>
      </c>
      <c r="N76" s="3" t="s">
        <v>117</v>
      </c>
      <c r="O76" s="4" t="n">
        <v>364</v>
      </c>
      <c r="P76" s="3" t="s">
        <v>48</v>
      </c>
      <c r="Q76" s="5" t="n">
        <v>42300</v>
      </c>
      <c r="R76" s="6" t="n">
        <v>0.05</v>
      </c>
      <c r="S76" s="5" t="n">
        <f aca="false">O76*Q76</f>
        <v>15397200</v>
      </c>
      <c r="T76" s="5" t="n">
        <f aca="false">S76*R76</f>
        <v>769860</v>
      </c>
      <c r="U76" s="5" t="n">
        <f aca="false">S76-T76</f>
        <v>14627340</v>
      </c>
      <c r="V76" s="3" t="s">
        <v>81</v>
      </c>
    </row>
    <row r="77" customFormat="false" ht="15" hidden="false" customHeight="false" outlineLevel="0" collapsed="false">
      <c r="A77" s="2" t="n">
        <v>46047</v>
      </c>
      <c r="B77" s="3" t="s">
        <v>222</v>
      </c>
      <c r="C77" s="3" t="s">
        <v>188</v>
      </c>
      <c r="D77" s="3" t="s">
        <v>189</v>
      </c>
      <c r="E77" s="3" t="s">
        <v>76</v>
      </c>
      <c r="F77" s="3" t="s">
        <v>85</v>
      </c>
      <c r="G77" s="3" t="s">
        <v>77</v>
      </c>
      <c r="H77" s="3" t="s">
        <v>78</v>
      </c>
      <c r="I77" s="3" t="s">
        <v>79</v>
      </c>
      <c r="J77" s="3" t="s">
        <v>80</v>
      </c>
      <c r="K77" s="3" t="s">
        <v>144</v>
      </c>
      <c r="L77" s="3" t="s">
        <v>145</v>
      </c>
      <c r="M77" s="3" t="s">
        <v>146</v>
      </c>
      <c r="N77" s="3" t="s">
        <v>111</v>
      </c>
      <c r="O77" s="4" t="n">
        <v>462</v>
      </c>
      <c r="P77" s="3" t="s">
        <v>48</v>
      </c>
      <c r="Q77" s="5" t="n">
        <v>89000</v>
      </c>
      <c r="R77" s="6" t="n">
        <v>0.08</v>
      </c>
      <c r="S77" s="5" t="n">
        <f aca="false">O77*Q77</f>
        <v>41118000</v>
      </c>
      <c r="T77" s="5" t="n">
        <f aca="false">S77*R77</f>
        <v>3289440</v>
      </c>
      <c r="U77" s="5" t="n">
        <f aca="false">S77-T77</f>
        <v>37828560</v>
      </c>
      <c r="V77" s="3" t="s">
        <v>81</v>
      </c>
    </row>
    <row r="78" customFormat="false" ht="15" hidden="false" customHeight="false" outlineLevel="0" collapsed="false">
      <c r="A78" s="2" t="n">
        <v>46048</v>
      </c>
      <c r="B78" s="3" t="s">
        <v>223</v>
      </c>
      <c r="C78" s="3" t="s">
        <v>113</v>
      </c>
      <c r="D78" s="3" t="s">
        <v>114</v>
      </c>
      <c r="E78" s="3" t="s">
        <v>25</v>
      </c>
      <c r="F78" s="3" t="s">
        <v>85</v>
      </c>
      <c r="G78" s="3" t="s">
        <v>27</v>
      </c>
      <c r="H78" s="3" t="s">
        <v>28</v>
      </c>
      <c r="I78" s="3" t="s">
        <v>29</v>
      </c>
      <c r="J78" s="3" t="s">
        <v>30</v>
      </c>
      <c r="K78" s="3" t="s">
        <v>128</v>
      </c>
      <c r="L78" s="3" t="s">
        <v>129</v>
      </c>
      <c r="M78" s="3" t="s">
        <v>130</v>
      </c>
      <c r="N78" s="3" t="s">
        <v>131</v>
      </c>
      <c r="O78" s="4" t="n">
        <v>69</v>
      </c>
      <c r="P78" s="3" t="s">
        <v>48</v>
      </c>
      <c r="Q78" s="5" t="n">
        <v>84500</v>
      </c>
      <c r="R78" s="6" t="n">
        <v>0.1</v>
      </c>
      <c r="S78" s="5" t="n">
        <f aca="false">O78*Q78</f>
        <v>5830500</v>
      </c>
      <c r="T78" s="5" t="n">
        <f aca="false">S78*R78</f>
        <v>583050</v>
      </c>
      <c r="U78" s="5" t="n">
        <f aca="false">S78-T78</f>
        <v>5247450</v>
      </c>
      <c r="V78" s="3" t="s">
        <v>35</v>
      </c>
    </row>
    <row r="79" customFormat="false" ht="15" hidden="false" customHeight="false" outlineLevel="0" collapsed="false">
      <c r="A79" s="2" t="n">
        <v>46048</v>
      </c>
      <c r="B79" s="3" t="s">
        <v>224</v>
      </c>
      <c r="C79" s="3" t="s">
        <v>188</v>
      </c>
      <c r="D79" s="3" t="s">
        <v>189</v>
      </c>
      <c r="E79" s="3" t="s">
        <v>76</v>
      </c>
      <c r="F79" s="3" t="s">
        <v>85</v>
      </c>
      <c r="G79" s="3" t="s">
        <v>77</v>
      </c>
      <c r="H79" s="3" t="s">
        <v>78</v>
      </c>
      <c r="I79" s="3" t="s">
        <v>79</v>
      </c>
      <c r="J79" s="3" t="s">
        <v>80</v>
      </c>
      <c r="K79" s="3" t="s">
        <v>98</v>
      </c>
      <c r="L79" s="3" t="s">
        <v>99</v>
      </c>
      <c r="M79" s="3" t="s">
        <v>46</v>
      </c>
      <c r="N79" s="3" t="s">
        <v>47</v>
      </c>
      <c r="O79" s="4" t="n">
        <v>450</v>
      </c>
      <c r="P79" s="3" t="s">
        <v>48</v>
      </c>
      <c r="Q79" s="5" t="n">
        <v>138500</v>
      </c>
      <c r="R79" s="6" t="n">
        <v>0.05</v>
      </c>
      <c r="S79" s="5" t="n">
        <f aca="false">O79*Q79</f>
        <v>62325000</v>
      </c>
      <c r="T79" s="5" t="n">
        <f aca="false">S79*R79</f>
        <v>3116250</v>
      </c>
      <c r="U79" s="5" t="n">
        <f aca="false">S79-T79</f>
        <v>59208750</v>
      </c>
      <c r="V79" s="3" t="s">
        <v>81</v>
      </c>
    </row>
    <row r="80" customFormat="false" ht="15" hidden="false" customHeight="false" outlineLevel="0" collapsed="false">
      <c r="A80" s="2" t="n">
        <v>46048</v>
      </c>
      <c r="B80" s="3" t="s">
        <v>225</v>
      </c>
      <c r="C80" s="3" t="s">
        <v>137</v>
      </c>
      <c r="D80" s="3" t="s">
        <v>138</v>
      </c>
      <c r="E80" s="3" t="s">
        <v>76</v>
      </c>
      <c r="F80" s="3" t="s">
        <v>40</v>
      </c>
      <c r="G80" s="3" t="s">
        <v>77</v>
      </c>
      <c r="H80" s="3" t="s">
        <v>78</v>
      </c>
      <c r="I80" s="3" t="s">
        <v>79</v>
      </c>
      <c r="J80" s="3" t="s">
        <v>80</v>
      </c>
      <c r="K80" s="3" t="s">
        <v>98</v>
      </c>
      <c r="L80" s="3" t="s">
        <v>99</v>
      </c>
      <c r="M80" s="3" t="s">
        <v>46</v>
      </c>
      <c r="N80" s="3" t="s">
        <v>47</v>
      </c>
      <c r="O80" s="4" t="n">
        <v>594</v>
      </c>
      <c r="P80" s="3" t="s">
        <v>48</v>
      </c>
      <c r="Q80" s="5" t="n">
        <v>138500</v>
      </c>
      <c r="R80" s="6" t="n">
        <v>0.1</v>
      </c>
      <c r="S80" s="5" t="n">
        <f aca="false">O80*Q80</f>
        <v>82269000</v>
      </c>
      <c r="T80" s="5" t="n">
        <f aca="false">S80*R80</f>
        <v>8226900</v>
      </c>
      <c r="U80" s="5" t="n">
        <f aca="false">S80-T80</f>
        <v>74042100</v>
      </c>
      <c r="V80" s="3" t="s">
        <v>81</v>
      </c>
    </row>
    <row r="81" customFormat="false" ht="15" hidden="false" customHeight="false" outlineLevel="0" collapsed="false">
      <c r="A81" s="2" t="n">
        <v>46049</v>
      </c>
      <c r="B81" s="3" t="s">
        <v>226</v>
      </c>
      <c r="C81" s="3" t="s">
        <v>156</v>
      </c>
      <c r="D81" s="3" t="s">
        <v>157</v>
      </c>
      <c r="E81" s="3" t="s">
        <v>76</v>
      </c>
      <c r="F81" s="3" t="s">
        <v>40</v>
      </c>
      <c r="G81" s="3" t="s">
        <v>77</v>
      </c>
      <c r="H81" s="3" t="s">
        <v>78</v>
      </c>
      <c r="I81" s="3" t="s">
        <v>79</v>
      </c>
      <c r="J81" s="3" t="s">
        <v>80</v>
      </c>
      <c r="K81" s="3" t="s">
        <v>56</v>
      </c>
      <c r="L81" s="3" t="s">
        <v>57</v>
      </c>
      <c r="M81" s="3" t="s">
        <v>58</v>
      </c>
      <c r="N81" s="3" t="s">
        <v>59</v>
      </c>
      <c r="O81" s="4" t="n">
        <v>179</v>
      </c>
      <c r="P81" s="3" t="s">
        <v>48</v>
      </c>
      <c r="Q81" s="5" t="n">
        <v>52800</v>
      </c>
      <c r="R81" s="6" t="n">
        <v>0.05</v>
      </c>
      <c r="S81" s="5" t="n">
        <f aca="false">O81*Q81</f>
        <v>9451200</v>
      </c>
      <c r="T81" s="5" t="n">
        <f aca="false">S81*R81</f>
        <v>472560</v>
      </c>
      <c r="U81" s="5" t="n">
        <f aca="false">S81-T81</f>
        <v>8978640</v>
      </c>
      <c r="V81" s="3" t="s">
        <v>81</v>
      </c>
    </row>
    <row r="82" customFormat="false" ht="15" hidden="false" customHeight="false" outlineLevel="0" collapsed="false">
      <c r="A82" s="2" t="n">
        <v>46049</v>
      </c>
      <c r="B82" s="3" t="s">
        <v>227</v>
      </c>
      <c r="C82" s="3" t="s">
        <v>61</v>
      </c>
      <c r="D82" s="3" t="s">
        <v>62</v>
      </c>
      <c r="E82" s="3" t="s">
        <v>25</v>
      </c>
      <c r="F82" s="3" t="s">
        <v>63</v>
      </c>
      <c r="G82" s="3" t="s">
        <v>27</v>
      </c>
      <c r="H82" s="3" t="s">
        <v>53</v>
      </c>
      <c r="I82" s="3" t="s">
        <v>54</v>
      </c>
      <c r="J82" s="3" t="s">
        <v>55</v>
      </c>
      <c r="K82" s="3" t="s">
        <v>148</v>
      </c>
      <c r="L82" s="3" t="s">
        <v>149</v>
      </c>
      <c r="M82" s="3" t="s">
        <v>130</v>
      </c>
      <c r="N82" s="3" t="s">
        <v>131</v>
      </c>
      <c r="O82" s="4" t="n">
        <v>80</v>
      </c>
      <c r="P82" s="3" t="s">
        <v>48</v>
      </c>
      <c r="Q82" s="5" t="n">
        <v>78900</v>
      </c>
      <c r="R82" s="6" t="n">
        <v>0.1</v>
      </c>
      <c r="S82" s="5" t="n">
        <f aca="false">O82*Q82</f>
        <v>6312000</v>
      </c>
      <c r="T82" s="5" t="n">
        <f aca="false">S82*R82</f>
        <v>631200</v>
      </c>
      <c r="U82" s="5" t="n">
        <f aca="false">S82-T82</f>
        <v>5680800</v>
      </c>
      <c r="V82" s="3" t="s">
        <v>35</v>
      </c>
    </row>
    <row r="83" customFormat="false" ht="15" hidden="false" customHeight="false" outlineLevel="0" collapsed="false">
      <c r="A83" s="2" t="n">
        <v>46050</v>
      </c>
      <c r="B83" s="3" t="s">
        <v>228</v>
      </c>
      <c r="C83" s="3" t="s">
        <v>126</v>
      </c>
      <c r="D83" s="3" t="s">
        <v>127</v>
      </c>
      <c r="E83" s="3" t="s">
        <v>76</v>
      </c>
      <c r="F83" s="3" t="s">
        <v>40</v>
      </c>
      <c r="G83" s="3" t="s">
        <v>77</v>
      </c>
      <c r="H83" s="3" t="s">
        <v>78</v>
      </c>
      <c r="I83" s="3" t="s">
        <v>79</v>
      </c>
      <c r="J83" s="3" t="s">
        <v>80</v>
      </c>
      <c r="K83" s="3" t="s">
        <v>128</v>
      </c>
      <c r="L83" s="3" t="s">
        <v>129</v>
      </c>
      <c r="M83" s="3" t="s">
        <v>130</v>
      </c>
      <c r="N83" s="3" t="s">
        <v>131</v>
      </c>
      <c r="O83" s="4" t="n">
        <v>213</v>
      </c>
      <c r="P83" s="3" t="s">
        <v>48</v>
      </c>
      <c r="Q83" s="5" t="n">
        <v>84500</v>
      </c>
      <c r="R83" s="6" t="n">
        <v>0.05</v>
      </c>
      <c r="S83" s="5" t="n">
        <f aca="false">O83*Q83</f>
        <v>17998500</v>
      </c>
      <c r="T83" s="5" t="n">
        <f aca="false">S83*R83</f>
        <v>899925</v>
      </c>
      <c r="U83" s="5" t="n">
        <f aca="false">S83-T83</f>
        <v>17098575</v>
      </c>
      <c r="V83" s="3" t="s">
        <v>81</v>
      </c>
    </row>
    <row r="84" customFormat="false" ht="15" hidden="false" customHeight="false" outlineLevel="0" collapsed="false">
      <c r="A84" s="2" t="n">
        <v>46050</v>
      </c>
      <c r="B84" s="3" t="s">
        <v>229</v>
      </c>
      <c r="C84" s="3" t="s">
        <v>230</v>
      </c>
      <c r="D84" s="3" t="s">
        <v>231</v>
      </c>
      <c r="E84" s="3" t="s">
        <v>76</v>
      </c>
      <c r="F84" s="3" t="s">
        <v>232</v>
      </c>
      <c r="G84" s="3" t="s">
        <v>86</v>
      </c>
      <c r="H84" s="3" t="s">
        <v>87</v>
      </c>
      <c r="I84" s="3" t="s">
        <v>88</v>
      </c>
      <c r="J84" s="3" t="s">
        <v>89</v>
      </c>
      <c r="K84" s="3" t="s">
        <v>56</v>
      </c>
      <c r="L84" s="3" t="s">
        <v>57</v>
      </c>
      <c r="M84" s="3" t="s">
        <v>58</v>
      </c>
      <c r="N84" s="3" t="s">
        <v>59</v>
      </c>
      <c r="O84" s="4" t="n">
        <v>210</v>
      </c>
      <c r="P84" s="3" t="s">
        <v>48</v>
      </c>
      <c r="Q84" s="5" t="n">
        <v>52800</v>
      </c>
      <c r="R84" s="6" t="n">
        <v>0.02</v>
      </c>
      <c r="S84" s="5" t="n">
        <f aca="false">O84*Q84</f>
        <v>11088000</v>
      </c>
      <c r="T84" s="5" t="n">
        <f aca="false">S84*R84</f>
        <v>221760</v>
      </c>
      <c r="U84" s="5" t="n">
        <f aca="false">S84-T84</f>
        <v>10866240</v>
      </c>
      <c r="V84" s="3" t="s">
        <v>81</v>
      </c>
    </row>
    <row r="85" customFormat="false" ht="15" hidden="false" customHeight="false" outlineLevel="0" collapsed="false">
      <c r="A85" s="2" t="n">
        <v>46050</v>
      </c>
      <c r="B85" s="3" t="s">
        <v>233</v>
      </c>
      <c r="C85" s="3" t="s">
        <v>50</v>
      </c>
      <c r="D85" s="3" t="s">
        <v>51</v>
      </c>
      <c r="E85" s="3" t="s">
        <v>25</v>
      </c>
      <c r="F85" s="3" t="s">
        <v>52</v>
      </c>
      <c r="G85" s="3" t="s">
        <v>27</v>
      </c>
      <c r="H85" s="3" t="s">
        <v>133</v>
      </c>
      <c r="I85" s="3" t="s">
        <v>134</v>
      </c>
      <c r="J85" s="3" t="s">
        <v>135</v>
      </c>
      <c r="K85" s="3" t="s">
        <v>108</v>
      </c>
      <c r="L85" s="3" t="s">
        <v>109</v>
      </c>
      <c r="M85" s="3" t="s">
        <v>110</v>
      </c>
      <c r="N85" s="3" t="s">
        <v>111</v>
      </c>
      <c r="O85" s="4" t="n">
        <v>151</v>
      </c>
      <c r="P85" s="3" t="s">
        <v>48</v>
      </c>
      <c r="Q85" s="5" t="n">
        <v>112000</v>
      </c>
      <c r="R85" s="6" t="n">
        <v>0.15</v>
      </c>
      <c r="S85" s="5" t="n">
        <f aca="false">O85*Q85</f>
        <v>16912000</v>
      </c>
      <c r="T85" s="5" t="n">
        <f aca="false">S85*R85</f>
        <v>2536800</v>
      </c>
      <c r="U85" s="5" t="n">
        <f aca="false">S85-T85</f>
        <v>14375200</v>
      </c>
      <c r="V85" s="3" t="s">
        <v>35</v>
      </c>
    </row>
    <row r="86" customFormat="false" ht="15" hidden="false" customHeight="false" outlineLevel="0" collapsed="false">
      <c r="A86" s="2" t="n">
        <v>46051</v>
      </c>
      <c r="B86" s="3" t="s">
        <v>234</v>
      </c>
      <c r="C86" s="3" t="s">
        <v>141</v>
      </c>
      <c r="D86" s="3" t="s">
        <v>142</v>
      </c>
      <c r="E86" s="3" t="s">
        <v>25</v>
      </c>
      <c r="F86" s="3" t="s">
        <v>143</v>
      </c>
      <c r="G86" s="3" t="s">
        <v>27</v>
      </c>
      <c r="H86" s="3" t="s">
        <v>133</v>
      </c>
      <c r="I86" s="3" t="s">
        <v>134</v>
      </c>
      <c r="J86" s="3" t="s">
        <v>135</v>
      </c>
      <c r="K86" s="3" t="s">
        <v>148</v>
      </c>
      <c r="L86" s="3" t="s">
        <v>149</v>
      </c>
      <c r="M86" s="3" t="s">
        <v>130</v>
      </c>
      <c r="N86" s="3" t="s">
        <v>131</v>
      </c>
      <c r="O86" s="4" t="n">
        <v>93</v>
      </c>
      <c r="P86" s="3" t="s">
        <v>48</v>
      </c>
      <c r="Q86" s="5" t="n">
        <v>78900</v>
      </c>
      <c r="R86" s="6" t="n">
        <v>0.12</v>
      </c>
      <c r="S86" s="5" t="n">
        <f aca="false">O86*Q86</f>
        <v>7337700</v>
      </c>
      <c r="T86" s="5" t="n">
        <f aca="false">S86*R86</f>
        <v>880524</v>
      </c>
      <c r="U86" s="5" t="n">
        <f aca="false">S86-T86</f>
        <v>6457176</v>
      </c>
      <c r="V86" s="3" t="s">
        <v>35</v>
      </c>
    </row>
    <row r="87" customFormat="false" ht="15" hidden="false" customHeight="false" outlineLevel="0" collapsed="false">
      <c r="A87" s="2" t="n">
        <v>46051</v>
      </c>
      <c r="B87" s="3" t="s">
        <v>235</v>
      </c>
      <c r="C87" s="3" t="s">
        <v>83</v>
      </c>
      <c r="D87" s="3" t="s">
        <v>84</v>
      </c>
      <c r="E87" s="3" t="s">
        <v>76</v>
      </c>
      <c r="F87" s="3" t="s">
        <v>85</v>
      </c>
      <c r="G87" s="3" t="s">
        <v>86</v>
      </c>
      <c r="H87" s="3" t="s">
        <v>87</v>
      </c>
      <c r="I87" s="3" t="s">
        <v>88</v>
      </c>
      <c r="J87" s="3" t="s">
        <v>89</v>
      </c>
      <c r="K87" s="3" t="s">
        <v>148</v>
      </c>
      <c r="L87" s="3" t="s">
        <v>149</v>
      </c>
      <c r="M87" s="3" t="s">
        <v>130</v>
      </c>
      <c r="N87" s="3" t="s">
        <v>131</v>
      </c>
      <c r="O87" s="4" t="n">
        <v>145</v>
      </c>
      <c r="P87" s="3" t="s">
        <v>48</v>
      </c>
      <c r="Q87" s="5" t="n">
        <v>78900</v>
      </c>
      <c r="R87" s="6" t="n">
        <v>0.03</v>
      </c>
      <c r="S87" s="5" t="n">
        <f aca="false">O87*Q87</f>
        <v>11440500</v>
      </c>
      <c r="T87" s="5" t="n">
        <f aca="false">S87*R87</f>
        <v>343215</v>
      </c>
      <c r="U87" s="5" t="n">
        <f aca="false">S87-T87</f>
        <v>11097285</v>
      </c>
      <c r="V87" s="3" t="s">
        <v>81</v>
      </c>
    </row>
    <row r="88" customFormat="false" ht="15" hidden="false" customHeight="false" outlineLevel="0" collapsed="false">
      <c r="A88" s="2" t="n">
        <v>46051</v>
      </c>
      <c r="B88" s="3" t="s">
        <v>236</v>
      </c>
      <c r="C88" s="3" t="s">
        <v>230</v>
      </c>
      <c r="D88" s="3" t="s">
        <v>231</v>
      </c>
      <c r="E88" s="3" t="s">
        <v>76</v>
      </c>
      <c r="F88" s="3" t="s">
        <v>232</v>
      </c>
      <c r="G88" s="3" t="s">
        <v>86</v>
      </c>
      <c r="H88" s="3" t="s">
        <v>87</v>
      </c>
      <c r="I88" s="3" t="s">
        <v>88</v>
      </c>
      <c r="J88" s="3" t="s">
        <v>89</v>
      </c>
      <c r="K88" s="3" t="s">
        <v>144</v>
      </c>
      <c r="L88" s="3" t="s">
        <v>145</v>
      </c>
      <c r="M88" s="3" t="s">
        <v>146</v>
      </c>
      <c r="N88" s="3" t="s">
        <v>111</v>
      </c>
      <c r="O88" s="4" t="n">
        <v>469</v>
      </c>
      <c r="P88" s="3" t="s">
        <v>48</v>
      </c>
      <c r="Q88" s="5" t="n">
        <v>89000</v>
      </c>
      <c r="R88" s="6" t="n">
        <v>0.08</v>
      </c>
      <c r="S88" s="5" t="n">
        <f aca="false">O88*Q88</f>
        <v>41741000</v>
      </c>
      <c r="T88" s="5" t="n">
        <f aca="false">S88*R88</f>
        <v>3339280</v>
      </c>
      <c r="U88" s="5" t="n">
        <f aca="false">S88-T88</f>
        <v>38401720</v>
      </c>
      <c r="V88" s="3" t="s">
        <v>81</v>
      </c>
    </row>
    <row r="89" customFormat="false" ht="15" hidden="false" customHeight="false" outlineLevel="0" collapsed="false">
      <c r="A89" s="2" t="n">
        <v>46052</v>
      </c>
      <c r="B89" s="3" t="s">
        <v>237</v>
      </c>
      <c r="C89" s="3" t="s">
        <v>113</v>
      </c>
      <c r="D89" s="3" t="s">
        <v>114</v>
      </c>
      <c r="E89" s="3" t="s">
        <v>25</v>
      </c>
      <c r="F89" s="3" t="s">
        <v>85</v>
      </c>
      <c r="G89" s="3" t="s">
        <v>27</v>
      </c>
      <c r="H89" s="3" t="s">
        <v>28</v>
      </c>
      <c r="I89" s="3" t="s">
        <v>29</v>
      </c>
      <c r="J89" s="3" t="s">
        <v>30</v>
      </c>
      <c r="K89" s="3" t="s">
        <v>56</v>
      </c>
      <c r="L89" s="3" t="s">
        <v>57</v>
      </c>
      <c r="M89" s="3" t="s">
        <v>58</v>
      </c>
      <c r="N89" s="3" t="s">
        <v>59</v>
      </c>
      <c r="O89" s="4" t="n">
        <v>97</v>
      </c>
      <c r="P89" s="3" t="s">
        <v>48</v>
      </c>
      <c r="Q89" s="5" t="n">
        <v>52800</v>
      </c>
      <c r="R89" s="6" t="n">
        <v>0.08</v>
      </c>
      <c r="S89" s="5" t="n">
        <f aca="false">O89*Q89</f>
        <v>5121600</v>
      </c>
      <c r="T89" s="5" t="n">
        <f aca="false">S89*R89</f>
        <v>409728</v>
      </c>
      <c r="U89" s="5" t="n">
        <f aca="false">S89-T89</f>
        <v>4711872</v>
      </c>
      <c r="V89" s="3" t="s">
        <v>35</v>
      </c>
    </row>
    <row r="90" customFormat="false" ht="15" hidden="false" customHeight="false" outlineLevel="0" collapsed="false">
      <c r="A90" s="2" t="n">
        <v>46052</v>
      </c>
      <c r="B90" s="3" t="s">
        <v>238</v>
      </c>
      <c r="C90" s="3" t="s">
        <v>165</v>
      </c>
      <c r="D90" s="3" t="s">
        <v>166</v>
      </c>
      <c r="E90" s="3" t="s">
        <v>76</v>
      </c>
      <c r="F90" s="3" t="s">
        <v>167</v>
      </c>
      <c r="G90" s="3" t="s">
        <v>86</v>
      </c>
      <c r="H90" s="3" t="s">
        <v>87</v>
      </c>
      <c r="I90" s="3" t="s">
        <v>88</v>
      </c>
      <c r="J90" s="3" t="s">
        <v>89</v>
      </c>
      <c r="K90" s="3" t="s">
        <v>71</v>
      </c>
      <c r="L90" s="3" t="s">
        <v>72</v>
      </c>
      <c r="M90" s="3" t="s">
        <v>46</v>
      </c>
      <c r="N90" s="3" t="s">
        <v>47</v>
      </c>
      <c r="O90" s="4" t="n">
        <v>596</v>
      </c>
      <c r="P90" s="3" t="s">
        <v>48</v>
      </c>
      <c r="Q90" s="5" t="n">
        <v>156000</v>
      </c>
      <c r="R90" s="6" t="n">
        <v>0.08</v>
      </c>
      <c r="S90" s="5" t="n">
        <f aca="false">O90*Q90</f>
        <v>92976000</v>
      </c>
      <c r="T90" s="5" t="n">
        <f aca="false">S90*R90</f>
        <v>7438080</v>
      </c>
      <c r="U90" s="5" t="n">
        <f aca="false">S90-T90</f>
        <v>85537920</v>
      </c>
      <c r="V90" s="3" t="s">
        <v>81</v>
      </c>
    </row>
    <row r="91" customFormat="false" ht="15" hidden="false" customHeight="false" outlineLevel="0" collapsed="false">
      <c r="A91" s="2" t="n">
        <v>46053</v>
      </c>
      <c r="B91" s="3" t="s">
        <v>239</v>
      </c>
      <c r="C91" s="3" t="s">
        <v>23</v>
      </c>
      <c r="D91" s="3" t="s">
        <v>24</v>
      </c>
      <c r="E91" s="3" t="s">
        <v>25</v>
      </c>
      <c r="F91" s="3" t="s">
        <v>26</v>
      </c>
      <c r="G91" s="3" t="s">
        <v>27</v>
      </c>
      <c r="H91" s="3" t="s">
        <v>133</v>
      </c>
      <c r="I91" s="3" t="s">
        <v>134</v>
      </c>
      <c r="J91" s="3" t="s">
        <v>135</v>
      </c>
      <c r="K91" s="3" t="s">
        <v>128</v>
      </c>
      <c r="L91" s="3" t="s">
        <v>129</v>
      </c>
      <c r="M91" s="3" t="s">
        <v>130</v>
      </c>
      <c r="N91" s="3" t="s">
        <v>131</v>
      </c>
      <c r="O91" s="4" t="n">
        <v>121</v>
      </c>
      <c r="P91" s="3" t="s">
        <v>48</v>
      </c>
      <c r="Q91" s="5" t="n">
        <v>84500</v>
      </c>
      <c r="R91" s="6" t="n">
        <v>0.12</v>
      </c>
      <c r="S91" s="5" t="n">
        <f aca="false">O91*Q91</f>
        <v>10224500</v>
      </c>
      <c r="T91" s="5" t="n">
        <f aca="false">S91*R91</f>
        <v>1226940</v>
      </c>
      <c r="U91" s="5" t="n">
        <f aca="false">S91-T91</f>
        <v>8997560</v>
      </c>
      <c r="V91" s="3" t="s">
        <v>35</v>
      </c>
    </row>
    <row r="92" customFormat="false" ht="15" hidden="false" customHeight="false" outlineLevel="0" collapsed="false">
      <c r="A92" s="2" t="n">
        <v>46053</v>
      </c>
      <c r="B92" s="3" t="s">
        <v>240</v>
      </c>
      <c r="C92" s="3" t="s">
        <v>113</v>
      </c>
      <c r="D92" s="3" t="s">
        <v>114</v>
      </c>
      <c r="E92" s="3" t="s">
        <v>25</v>
      </c>
      <c r="F92" s="3" t="s">
        <v>85</v>
      </c>
      <c r="G92" s="3" t="s">
        <v>27</v>
      </c>
      <c r="H92" s="3" t="s">
        <v>28</v>
      </c>
      <c r="I92" s="3" t="s">
        <v>29</v>
      </c>
      <c r="J92" s="3" t="s">
        <v>30</v>
      </c>
      <c r="K92" s="3" t="s">
        <v>162</v>
      </c>
      <c r="L92" s="3" t="s">
        <v>163</v>
      </c>
      <c r="M92" s="3" t="s">
        <v>58</v>
      </c>
      <c r="N92" s="3" t="s">
        <v>59</v>
      </c>
      <c r="O92" s="4" t="n">
        <v>42</v>
      </c>
      <c r="P92" s="3" t="s">
        <v>48</v>
      </c>
      <c r="Q92" s="5" t="n">
        <v>48500</v>
      </c>
      <c r="R92" s="6" t="n">
        <v>0.08</v>
      </c>
      <c r="S92" s="5" t="n">
        <f aca="false">O92*Q92</f>
        <v>2037000</v>
      </c>
      <c r="T92" s="5" t="n">
        <f aca="false">S92*R92</f>
        <v>162960</v>
      </c>
      <c r="U92" s="5" t="n">
        <f aca="false">S92-T92</f>
        <v>1874040</v>
      </c>
      <c r="V92" s="3" t="s">
        <v>35</v>
      </c>
    </row>
    <row r="93" customFormat="false" ht="15" hidden="false" customHeight="false" outlineLevel="0" collapsed="false">
      <c r="A93" s="2" t="n">
        <v>46053</v>
      </c>
      <c r="B93" s="3" t="s">
        <v>241</v>
      </c>
      <c r="C93" s="3" t="s">
        <v>50</v>
      </c>
      <c r="D93" s="3" t="s">
        <v>51</v>
      </c>
      <c r="E93" s="3" t="s">
        <v>25</v>
      </c>
      <c r="F93" s="3" t="s">
        <v>52</v>
      </c>
      <c r="G93" s="3" t="s">
        <v>27</v>
      </c>
      <c r="H93" s="3" t="s">
        <v>133</v>
      </c>
      <c r="I93" s="3" t="s">
        <v>134</v>
      </c>
      <c r="J93" s="3" t="s">
        <v>135</v>
      </c>
      <c r="K93" s="3" t="s">
        <v>56</v>
      </c>
      <c r="L93" s="3" t="s">
        <v>57</v>
      </c>
      <c r="M93" s="3" t="s">
        <v>58</v>
      </c>
      <c r="N93" s="3" t="s">
        <v>59</v>
      </c>
      <c r="O93" s="4" t="n">
        <v>151</v>
      </c>
      <c r="P93" s="3" t="s">
        <v>48</v>
      </c>
      <c r="Q93" s="5" t="n">
        <v>52800</v>
      </c>
      <c r="R93" s="6" t="n">
        <v>0.1</v>
      </c>
      <c r="S93" s="5" t="n">
        <f aca="false">O93*Q93</f>
        <v>7972800</v>
      </c>
      <c r="T93" s="5" t="n">
        <f aca="false">S93*R93</f>
        <v>797280</v>
      </c>
      <c r="U93" s="5" t="n">
        <f aca="false">S93-T93</f>
        <v>7175520</v>
      </c>
      <c r="V93" s="3" t="s">
        <v>35</v>
      </c>
    </row>
    <row r="94" customFormat="false" ht="15" hidden="false" customHeight="false" outlineLevel="0" collapsed="false">
      <c r="A94" s="2" t="n">
        <v>46053</v>
      </c>
      <c r="B94" s="3" t="s">
        <v>242</v>
      </c>
      <c r="C94" s="3" t="s">
        <v>156</v>
      </c>
      <c r="D94" s="3" t="s">
        <v>157</v>
      </c>
      <c r="E94" s="3" t="s">
        <v>76</v>
      </c>
      <c r="F94" s="3" t="s">
        <v>40</v>
      </c>
      <c r="G94" s="3" t="s">
        <v>77</v>
      </c>
      <c r="H94" s="3" t="s">
        <v>78</v>
      </c>
      <c r="I94" s="3" t="s">
        <v>79</v>
      </c>
      <c r="J94" s="3" t="s">
        <v>80</v>
      </c>
      <c r="K94" s="3" t="s">
        <v>90</v>
      </c>
      <c r="L94" s="3" t="s">
        <v>91</v>
      </c>
      <c r="M94" s="3" t="s">
        <v>92</v>
      </c>
      <c r="N94" s="3" t="s">
        <v>59</v>
      </c>
      <c r="O94" s="4" t="n">
        <v>386</v>
      </c>
      <c r="P94" s="3" t="s">
        <v>48</v>
      </c>
      <c r="Q94" s="5" t="n">
        <v>96500</v>
      </c>
      <c r="R94" s="6" t="n">
        <v>0.1</v>
      </c>
      <c r="S94" s="5" t="n">
        <f aca="false">O94*Q94</f>
        <v>37249000</v>
      </c>
      <c r="T94" s="5" t="n">
        <f aca="false">S94*R94</f>
        <v>3724900</v>
      </c>
      <c r="U94" s="5" t="n">
        <f aca="false">S94-T94</f>
        <v>33524100</v>
      </c>
      <c r="V94" s="3" t="s">
        <v>81</v>
      </c>
    </row>
    <row r="95" customFormat="false" ht="15" hidden="false" customHeight="false" outlineLevel="0" collapsed="false">
      <c r="A95" s="2" t="n">
        <v>46053</v>
      </c>
      <c r="B95" s="3" t="s">
        <v>243</v>
      </c>
      <c r="C95" s="3" t="s">
        <v>113</v>
      </c>
      <c r="D95" s="3" t="s">
        <v>114</v>
      </c>
      <c r="E95" s="3" t="s">
        <v>25</v>
      </c>
      <c r="F95" s="3" t="s">
        <v>85</v>
      </c>
      <c r="G95" s="3" t="s">
        <v>27</v>
      </c>
      <c r="H95" s="3" t="s">
        <v>28</v>
      </c>
      <c r="I95" s="3" t="s">
        <v>29</v>
      </c>
      <c r="J95" s="3" t="s">
        <v>30</v>
      </c>
      <c r="K95" s="3" t="s">
        <v>44</v>
      </c>
      <c r="L95" s="3" t="s">
        <v>45</v>
      </c>
      <c r="M95" s="3" t="s">
        <v>46</v>
      </c>
      <c r="N95" s="3" t="s">
        <v>47</v>
      </c>
      <c r="O95" s="4" t="n">
        <v>139</v>
      </c>
      <c r="P95" s="3" t="s">
        <v>48</v>
      </c>
      <c r="Q95" s="5" t="n">
        <v>142000</v>
      </c>
      <c r="R95" s="6" t="n">
        <v>0.08</v>
      </c>
      <c r="S95" s="5" t="n">
        <f aca="false">O95*Q95</f>
        <v>19738000</v>
      </c>
      <c r="T95" s="5" t="n">
        <f aca="false">S95*R95</f>
        <v>1579040</v>
      </c>
      <c r="U95" s="5" t="n">
        <f aca="false">S95-T95</f>
        <v>18158960</v>
      </c>
      <c r="V95" s="3" t="s">
        <v>35</v>
      </c>
    </row>
    <row r="96" customFormat="false" ht="15" hidden="false" customHeight="false" outlineLevel="0" collapsed="false">
      <c r="A96" s="2" t="n">
        <v>46053</v>
      </c>
      <c r="B96" s="3" t="s">
        <v>244</v>
      </c>
      <c r="C96" s="3" t="s">
        <v>61</v>
      </c>
      <c r="D96" s="3" t="s">
        <v>62</v>
      </c>
      <c r="E96" s="3" t="s">
        <v>25</v>
      </c>
      <c r="F96" s="3" t="s">
        <v>63</v>
      </c>
      <c r="G96" s="3" t="s">
        <v>27</v>
      </c>
      <c r="H96" s="3" t="s">
        <v>133</v>
      </c>
      <c r="I96" s="3" t="s">
        <v>134</v>
      </c>
      <c r="J96" s="3" t="s">
        <v>135</v>
      </c>
      <c r="K96" s="3" t="s">
        <v>31</v>
      </c>
      <c r="L96" s="3" t="s">
        <v>32</v>
      </c>
      <c r="M96" s="3" t="s">
        <v>33</v>
      </c>
      <c r="N96" s="3" t="s">
        <v>33</v>
      </c>
      <c r="O96" s="4" t="n">
        <v>65</v>
      </c>
      <c r="P96" s="3" t="s">
        <v>34</v>
      </c>
      <c r="Q96" s="5" t="n">
        <v>34200</v>
      </c>
      <c r="R96" s="6" t="n">
        <v>0.15</v>
      </c>
      <c r="S96" s="5" t="n">
        <f aca="false">O96*Q96</f>
        <v>2223000</v>
      </c>
      <c r="T96" s="5" t="n">
        <f aca="false">S96*R96</f>
        <v>333450</v>
      </c>
      <c r="U96" s="5" t="n">
        <f aca="false">S96-T96</f>
        <v>1889550</v>
      </c>
      <c r="V96" s="3" t="s">
        <v>35</v>
      </c>
    </row>
    <row r="97" customFormat="false" ht="15" hidden="false" customHeight="false" outlineLevel="0" collapsed="false">
      <c r="A97" s="2" t="n">
        <v>46054</v>
      </c>
      <c r="B97" s="3" t="s">
        <v>245</v>
      </c>
      <c r="C97" s="3" t="s">
        <v>101</v>
      </c>
      <c r="D97" s="3" t="s">
        <v>102</v>
      </c>
      <c r="E97" s="3" t="s">
        <v>25</v>
      </c>
      <c r="F97" s="3" t="s">
        <v>40</v>
      </c>
      <c r="G97" s="3" t="s">
        <v>27</v>
      </c>
      <c r="H97" s="3" t="s">
        <v>53</v>
      </c>
      <c r="I97" s="3" t="s">
        <v>54</v>
      </c>
      <c r="J97" s="3" t="s">
        <v>55</v>
      </c>
      <c r="K97" s="3" t="s">
        <v>119</v>
      </c>
      <c r="L97" s="3" t="s">
        <v>120</v>
      </c>
      <c r="M97" s="3" t="s">
        <v>33</v>
      </c>
      <c r="N97" s="3" t="s">
        <v>33</v>
      </c>
      <c r="O97" s="4" t="n">
        <v>196</v>
      </c>
      <c r="P97" s="3" t="s">
        <v>34</v>
      </c>
      <c r="Q97" s="5" t="n">
        <v>18900</v>
      </c>
      <c r="R97" s="6" t="n">
        <v>0.15</v>
      </c>
      <c r="S97" s="5" t="n">
        <f aca="false">O97*Q97</f>
        <v>3704400</v>
      </c>
      <c r="T97" s="5" t="n">
        <f aca="false">S97*R97</f>
        <v>555660</v>
      </c>
      <c r="U97" s="5" t="n">
        <f aca="false">S97-T97</f>
        <v>3148740</v>
      </c>
      <c r="V97" s="3" t="s">
        <v>35</v>
      </c>
    </row>
    <row r="98" customFormat="false" ht="15" hidden="false" customHeight="false" outlineLevel="0" collapsed="false">
      <c r="A98" s="2" t="n">
        <v>46054</v>
      </c>
      <c r="B98" s="3" t="s">
        <v>246</v>
      </c>
      <c r="C98" s="3" t="s">
        <v>156</v>
      </c>
      <c r="D98" s="3" t="s">
        <v>157</v>
      </c>
      <c r="E98" s="3" t="s">
        <v>76</v>
      </c>
      <c r="F98" s="3" t="s">
        <v>40</v>
      </c>
      <c r="G98" s="3" t="s">
        <v>77</v>
      </c>
      <c r="H98" s="3" t="s">
        <v>78</v>
      </c>
      <c r="I98" s="3" t="s">
        <v>79</v>
      </c>
      <c r="J98" s="3" t="s">
        <v>80</v>
      </c>
      <c r="K98" s="3" t="s">
        <v>56</v>
      </c>
      <c r="L98" s="3" t="s">
        <v>57</v>
      </c>
      <c r="M98" s="3" t="s">
        <v>58</v>
      </c>
      <c r="N98" s="3" t="s">
        <v>59</v>
      </c>
      <c r="O98" s="4" t="n">
        <v>460</v>
      </c>
      <c r="P98" s="3" t="s">
        <v>48</v>
      </c>
      <c r="Q98" s="5" t="n">
        <v>52800</v>
      </c>
      <c r="R98" s="6" t="n">
        <v>0.05</v>
      </c>
      <c r="S98" s="5" t="n">
        <f aca="false">O98*Q98</f>
        <v>24288000</v>
      </c>
      <c r="T98" s="5" t="n">
        <f aca="false">S98*R98</f>
        <v>1214400</v>
      </c>
      <c r="U98" s="5" t="n">
        <f aca="false">S98-T98</f>
        <v>23073600</v>
      </c>
      <c r="V98" s="3" t="s">
        <v>81</v>
      </c>
    </row>
    <row r="99" customFormat="false" ht="15" hidden="false" customHeight="false" outlineLevel="0" collapsed="false">
      <c r="A99" s="2" t="n">
        <v>46055</v>
      </c>
      <c r="B99" s="3" t="s">
        <v>247</v>
      </c>
      <c r="C99" s="3" t="s">
        <v>94</v>
      </c>
      <c r="D99" s="3" t="s">
        <v>95</v>
      </c>
      <c r="E99" s="3" t="s">
        <v>76</v>
      </c>
      <c r="F99" s="3" t="s">
        <v>96</v>
      </c>
      <c r="G99" s="3" t="s">
        <v>97</v>
      </c>
      <c r="H99" s="3" t="s">
        <v>68</v>
      </c>
      <c r="I99" s="3" t="s">
        <v>69</v>
      </c>
      <c r="J99" s="3" t="s">
        <v>70</v>
      </c>
      <c r="K99" s="3" t="s">
        <v>144</v>
      </c>
      <c r="L99" s="3" t="s">
        <v>145</v>
      </c>
      <c r="M99" s="3" t="s">
        <v>146</v>
      </c>
      <c r="N99" s="3" t="s">
        <v>111</v>
      </c>
      <c r="O99" s="4" t="n">
        <v>609</v>
      </c>
      <c r="P99" s="3" t="s">
        <v>48</v>
      </c>
      <c r="Q99" s="5" t="n">
        <v>89000</v>
      </c>
      <c r="R99" s="6" t="n">
        <v>0.05</v>
      </c>
      <c r="S99" s="5" t="n">
        <f aca="false">O99*Q99</f>
        <v>54201000</v>
      </c>
      <c r="T99" s="5" t="n">
        <f aca="false">S99*R99</f>
        <v>2710050</v>
      </c>
      <c r="U99" s="5" t="n">
        <f aca="false">S99-T99</f>
        <v>51490950</v>
      </c>
      <c r="V99" s="3" t="s">
        <v>81</v>
      </c>
    </row>
    <row r="100" customFormat="false" ht="15" hidden="false" customHeight="false" outlineLevel="0" collapsed="false">
      <c r="A100" s="2" t="n">
        <v>46055</v>
      </c>
      <c r="B100" s="3" t="s">
        <v>248</v>
      </c>
      <c r="C100" s="3" t="s">
        <v>137</v>
      </c>
      <c r="D100" s="3" t="s">
        <v>138</v>
      </c>
      <c r="E100" s="3" t="s">
        <v>76</v>
      </c>
      <c r="F100" s="3" t="s">
        <v>40</v>
      </c>
      <c r="G100" s="3" t="s">
        <v>77</v>
      </c>
      <c r="H100" s="3" t="s">
        <v>78</v>
      </c>
      <c r="I100" s="3" t="s">
        <v>79</v>
      </c>
      <c r="J100" s="3" t="s">
        <v>80</v>
      </c>
      <c r="K100" s="3" t="s">
        <v>148</v>
      </c>
      <c r="L100" s="3" t="s">
        <v>149</v>
      </c>
      <c r="M100" s="3" t="s">
        <v>130</v>
      </c>
      <c r="N100" s="3" t="s">
        <v>131</v>
      </c>
      <c r="O100" s="4" t="n">
        <v>221</v>
      </c>
      <c r="P100" s="3" t="s">
        <v>48</v>
      </c>
      <c r="Q100" s="5" t="n">
        <v>78900</v>
      </c>
      <c r="R100" s="6" t="n">
        <v>0.03</v>
      </c>
      <c r="S100" s="5" t="n">
        <f aca="false">O100*Q100</f>
        <v>17436900</v>
      </c>
      <c r="T100" s="5" t="n">
        <f aca="false">S100*R100</f>
        <v>523107</v>
      </c>
      <c r="U100" s="5" t="n">
        <f aca="false">S100-T100</f>
        <v>16913793</v>
      </c>
      <c r="V100" s="3" t="s">
        <v>81</v>
      </c>
    </row>
    <row r="101" customFormat="false" ht="15" hidden="false" customHeight="false" outlineLevel="0" collapsed="false">
      <c r="A101" s="2" t="n">
        <v>46056</v>
      </c>
      <c r="B101" s="3" t="s">
        <v>249</v>
      </c>
      <c r="C101" s="3" t="s">
        <v>156</v>
      </c>
      <c r="D101" s="3" t="s">
        <v>157</v>
      </c>
      <c r="E101" s="3" t="s">
        <v>76</v>
      </c>
      <c r="F101" s="3" t="s">
        <v>40</v>
      </c>
      <c r="G101" s="3" t="s">
        <v>77</v>
      </c>
      <c r="H101" s="3" t="s">
        <v>78</v>
      </c>
      <c r="I101" s="3" t="s">
        <v>79</v>
      </c>
      <c r="J101" s="3" t="s">
        <v>80</v>
      </c>
      <c r="K101" s="3" t="s">
        <v>71</v>
      </c>
      <c r="L101" s="3" t="s">
        <v>72</v>
      </c>
      <c r="M101" s="3" t="s">
        <v>46</v>
      </c>
      <c r="N101" s="3" t="s">
        <v>47</v>
      </c>
      <c r="O101" s="4" t="n">
        <v>420</v>
      </c>
      <c r="P101" s="3" t="s">
        <v>48</v>
      </c>
      <c r="Q101" s="5" t="n">
        <v>156000</v>
      </c>
      <c r="R101" s="6" t="n">
        <v>0.08</v>
      </c>
      <c r="S101" s="5" t="n">
        <f aca="false">O101*Q101</f>
        <v>65520000</v>
      </c>
      <c r="T101" s="5" t="n">
        <f aca="false">S101*R101</f>
        <v>5241600</v>
      </c>
      <c r="U101" s="5" t="n">
        <f aca="false">S101-T101</f>
        <v>60278400</v>
      </c>
      <c r="V101" s="3" t="s">
        <v>81</v>
      </c>
    </row>
    <row r="102" customFormat="false" ht="15" hidden="false" customHeight="false" outlineLevel="0" collapsed="false">
      <c r="A102" s="2" t="n">
        <v>46056</v>
      </c>
      <c r="B102" s="3" t="s">
        <v>250</v>
      </c>
      <c r="C102" s="3" t="s">
        <v>23</v>
      </c>
      <c r="D102" s="3" t="s">
        <v>24</v>
      </c>
      <c r="E102" s="3" t="s">
        <v>25</v>
      </c>
      <c r="F102" s="3" t="s">
        <v>26</v>
      </c>
      <c r="G102" s="3" t="s">
        <v>27</v>
      </c>
      <c r="H102" s="3" t="s">
        <v>133</v>
      </c>
      <c r="I102" s="3" t="s">
        <v>134</v>
      </c>
      <c r="J102" s="3" t="s">
        <v>135</v>
      </c>
      <c r="K102" s="3" t="s">
        <v>64</v>
      </c>
      <c r="L102" s="3" t="s">
        <v>65</v>
      </c>
      <c r="M102" s="3" t="s">
        <v>33</v>
      </c>
      <c r="N102" s="3" t="s">
        <v>33</v>
      </c>
      <c r="O102" s="4" t="n">
        <v>80</v>
      </c>
      <c r="P102" s="3" t="s">
        <v>66</v>
      </c>
      <c r="Q102" s="5" t="n">
        <v>28500</v>
      </c>
      <c r="R102" s="6" t="n">
        <v>0.08</v>
      </c>
      <c r="S102" s="5" t="n">
        <f aca="false">O102*Q102</f>
        <v>2280000</v>
      </c>
      <c r="T102" s="5" t="n">
        <f aca="false">S102*R102</f>
        <v>182400</v>
      </c>
      <c r="U102" s="5" t="n">
        <f aca="false">S102-T102</f>
        <v>2097600</v>
      </c>
      <c r="V102" s="3" t="s">
        <v>35</v>
      </c>
    </row>
    <row r="103" customFormat="false" ht="15" hidden="false" customHeight="false" outlineLevel="0" collapsed="false">
      <c r="A103" s="2" t="n">
        <v>46056</v>
      </c>
      <c r="B103" s="3" t="s">
        <v>251</v>
      </c>
      <c r="C103" s="3" t="s">
        <v>83</v>
      </c>
      <c r="D103" s="3" t="s">
        <v>84</v>
      </c>
      <c r="E103" s="3" t="s">
        <v>76</v>
      </c>
      <c r="F103" s="3" t="s">
        <v>85</v>
      </c>
      <c r="G103" s="3" t="s">
        <v>86</v>
      </c>
      <c r="H103" s="3" t="s">
        <v>87</v>
      </c>
      <c r="I103" s="3" t="s">
        <v>88</v>
      </c>
      <c r="J103" s="3" t="s">
        <v>89</v>
      </c>
      <c r="K103" s="3" t="s">
        <v>128</v>
      </c>
      <c r="L103" s="3" t="s">
        <v>129</v>
      </c>
      <c r="M103" s="3" t="s">
        <v>130</v>
      </c>
      <c r="N103" s="3" t="s">
        <v>131</v>
      </c>
      <c r="O103" s="4" t="n">
        <v>213</v>
      </c>
      <c r="P103" s="3" t="s">
        <v>48</v>
      </c>
      <c r="Q103" s="5" t="n">
        <v>84500</v>
      </c>
      <c r="R103" s="6" t="n">
        <v>0.03</v>
      </c>
      <c r="S103" s="5" t="n">
        <f aca="false">O103*Q103</f>
        <v>17998500</v>
      </c>
      <c r="T103" s="5" t="n">
        <f aca="false">S103*R103</f>
        <v>539955</v>
      </c>
      <c r="U103" s="5" t="n">
        <f aca="false">S103-T103</f>
        <v>17458545</v>
      </c>
      <c r="V103" s="3" t="s">
        <v>81</v>
      </c>
    </row>
    <row r="104" customFormat="false" ht="15" hidden="false" customHeight="false" outlineLevel="0" collapsed="false">
      <c r="A104" s="2" t="n">
        <v>46057</v>
      </c>
      <c r="B104" s="3" t="s">
        <v>252</v>
      </c>
      <c r="C104" s="3" t="s">
        <v>173</v>
      </c>
      <c r="D104" s="3" t="s">
        <v>174</v>
      </c>
      <c r="E104" s="3" t="s">
        <v>76</v>
      </c>
      <c r="F104" s="3" t="s">
        <v>40</v>
      </c>
      <c r="G104" s="3" t="s">
        <v>97</v>
      </c>
      <c r="H104" s="3" t="s">
        <v>41</v>
      </c>
      <c r="I104" s="3" t="s">
        <v>42</v>
      </c>
      <c r="J104" s="3" t="s">
        <v>43</v>
      </c>
      <c r="K104" s="3" t="s">
        <v>56</v>
      </c>
      <c r="L104" s="3" t="s">
        <v>57</v>
      </c>
      <c r="M104" s="3" t="s">
        <v>58</v>
      </c>
      <c r="N104" s="3" t="s">
        <v>59</v>
      </c>
      <c r="O104" s="4" t="n">
        <v>437</v>
      </c>
      <c r="P104" s="3" t="s">
        <v>48</v>
      </c>
      <c r="Q104" s="5" t="n">
        <v>52800</v>
      </c>
      <c r="R104" s="6" t="n">
        <v>0.05</v>
      </c>
      <c r="S104" s="5" t="n">
        <f aca="false">O104*Q104</f>
        <v>23073600</v>
      </c>
      <c r="T104" s="5" t="n">
        <f aca="false">S104*R104</f>
        <v>1153680</v>
      </c>
      <c r="U104" s="5" t="n">
        <f aca="false">S104-T104</f>
        <v>21919920</v>
      </c>
      <c r="V104" s="3" t="s">
        <v>81</v>
      </c>
    </row>
    <row r="105" customFormat="false" ht="15" hidden="false" customHeight="false" outlineLevel="0" collapsed="false">
      <c r="A105" s="2" t="n">
        <v>46057</v>
      </c>
      <c r="B105" s="3" t="s">
        <v>253</v>
      </c>
      <c r="C105" s="3" t="s">
        <v>126</v>
      </c>
      <c r="D105" s="3" t="s">
        <v>127</v>
      </c>
      <c r="E105" s="3" t="s">
        <v>76</v>
      </c>
      <c r="F105" s="3" t="s">
        <v>40</v>
      </c>
      <c r="G105" s="3" t="s">
        <v>77</v>
      </c>
      <c r="H105" s="3" t="s">
        <v>78</v>
      </c>
      <c r="I105" s="3" t="s">
        <v>79</v>
      </c>
      <c r="J105" s="3" t="s">
        <v>80</v>
      </c>
      <c r="K105" s="3" t="s">
        <v>115</v>
      </c>
      <c r="L105" s="3" t="s">
        <v>116</v>
      </c>
      <c r="M105" s="3" t="s">
        <v>92</v>
      </c>
      <c r="N105" s="3" t="s">
        <v>117</v>
      </c>
      <c r="O105" s="4" t="n">
        <v>628</v>
      </c>
      <c r="P105" s="3" t="s">
        <v>48</v>
      </c>
      <c r="Q105" s="5" t="n">
        <v>42300</v>
      </c>
      <c r="R105" s="6" t="n">
        <v>0.08</v>
      </c>
      <c r="S105" s="5" t="n">
        <f aca="false">O105*Q105</f>
        <v>26564400</v>
      </c>
      <c r="T105" s="5" t="n">
        <f aca="false">S105*R105</f>
        <v>2125152</v>
      </c>
      <c r="U105" s="5" t="n">
        <f aca="false">S105-T105</f>
        <v>24439248</v>
      </c>
      <c r="V105" s="3" t="s">
        <v>81</v>
      </c>
    </row>
    <row r="106" customFormat="false" ht="15" hidden="false" customHeight="false" outlineLevel="0" collapsed="false">
      <c r="A106" s="2" t="n">
        <v>46057</v>
      </c>
      <c r="B106" s="3" t="s">
        <v>254</v>
      </c>
      <c r="C106" s="3" t="s">
        <v>23</v>
      </c>
      <c r="D106" s="3" t="s">
        <v>24</v>
      </c>
      <c r="E106" s="3" t="s">
        <v>25</v>
      </c>
      <c r="F106" s="3" t="s">
        <v>26</v>
      </c>
      <c r="G106" s="3" t="s">
        <v>27</v>
      </c>
      <c r="H106" s="3" t="s">
        <v>53</v>
      </c>
      <c r="I106" s="3" t="s">
        <v>54</v>
      </c>
      <c r="J106" s="3" t="s">
        <v>55</v>
      </c>
      <c r="K106" s="3" t="s">
        <v>31</v>
      </c>
      <c r="L106" s="3" t="s">
        <v>32</v>
      </c>
      <c r="M106" s="3" t="s">
        <v>33</v>
      </c>
      <c r="N106" s="3" t="s">
        <v>33</v>
      </c>
      <c r="O106" s="4" t="n">
        <v>131</v>
      </c>
      <c r="P106" s="3" t="s">
        <v>34</v>
      </c>
      <c r="Q106" s="5" t="n">
        <v>34200</v>
      </c>
      <c r="R106" s="6" t="n">
        <v>0.12</v>
      </c>
      <c r="S106" s="5" t="n">
        <f aca="false">O106*Q106</f>
        <v>4480200</v>
      </c>
      <c r="T106" s="5" t="n">
        <f aca="false">S106*R106</f>
        <v>537624</v>
      </c>
      <c r="U106" s="5" t="n">
        <f aca="false">S106-T106</f>
        <v>3942576</v>
      </c>
      <c r="V106" s="3" t="s">
        <v>35</v>
      </c>
    </row>
    <row r="107" customFormat="false" ht="15" hidden="false" customHeight="false" outlineLevel="0" collapsed="false">
      <c r="A107" s="2" t="n">
        <v>46057</v>
      </c>
      <c r="B107" s="3" t="s">
        <v>255</v>
      </c>
      <c r="C107" s="3" t="s">
        <v>173</v>
      </c>
      <c r="D107" s="3" t="s">
        <v>174</v>
      </c>
      <c r="E107" s="3" t="s">
        <v>76</v>
      </c>
      <c r="F107" s="3" t="s">
        <v>40</v>
      </c>
      <c r="G107" s="3" t="s">
        <v>97</v>
      </c>
      <c r="H107" s="3" t="s">
        <v>68</v>
      </c>
      <c r="I107" s="3" t="s">
        <v>69</v>
      </c>
      <c r="J107" s="3" t="s">
        <v>70</v>
      </c>
      <c r="K107" s="3" t="s">
        <v>119</v>
      </c>
      <c r="L107" s="3" t="s">
        <v>120</v>
      </c>
      <c r="M107" s="3" t="s">
        <v>33</v>
      </c>
      <c r="N107" s="3" t="s">
        <v>33</v>
      </c>
      <c r="O107" s="4" t="n">
        <v>48</v>
      </c>
      <c r="P107" s="3" t="s">
        <v>34</v>
      </c>
      <c r="Q107" s="5" t="n">
        <v>18900</v>
      </c>
      <c r="R107" s="6" t="n">
        <v>0.02</v>
      </c>
      <c r="S107" s="5" t="n">
        <f aca="false">O107*Q107</f>
        <v>907200</v>
      </c>
      <c r="T107" s="5" t="n">
        <f aca="false">S107*R107</f>
        <v>18144</v>
      </c>
      <c r="U107" s="5" t="n">
        <f aca="false">S107-T107</f>
        <v>889056</v>
      </c>
      <c r="V107" s="3" t="s">
        <v>81</v>
      </c>
    </row>
    <row r="108" customFormat="false" ht="15" hidden="false" customHeight="false" outlineLevel="0" collapsed="false">
      <c r="A108" s="2" t="n">
        <v>46057</v>
      </c>
      <c r="B108" s="3" t="s">
        <v>256</v>
      </c>
      <c r="C108" s="3" t="s">
        <v>188</v>
      </c>
      <c r="D108" s="3" t="s">
        <v>189</v>
      </c>
      <c r="E108" s="3" t="s">
        <v>76</v>
      </c>
      <c r="F108" s="3" t="s">
        <v>85</v>
      </c>
      <c r="G108" s="3" t="s">
        <v>77</v>
      </c>
      <c r="H108" s="3" t="s">
        <v>78</v>
      </c>
      <c r="I108" s="3" t="s">
        <v>79</v>
      </c>
      <c r="J108" s="3" t="s">
        <v>80</v>
      </c>
      <c r="K108" s="3" t="s">
        <v>148</v>
      </c>
      <c r="L108" s="3" t="s">
        <v>149</v>
      </c>
      <c r="M108" s="3" t="s">
        <v>130</v>
      </c>
      <c r="N108" s="3" t="s">
        <v>131</v>
      </c>
      <c r="O108" s="4" t="n">
        <v>230</v>
      </c>
      <c r="P108" s="3" t="s">
        <v>48</v>
      </c>
      <c r="Q108" s="5" t="n">
        <v>78900</v>
      </c>
      <c r="R108" s="6" t="n">
        <v>0.03</v>
      </c>
      <c r="S108" s="5" t="n">
        <f aca="false">O108*Q108</f>
        <v>18147000</v>
      </c>
      <c r="T108" s="5" t="n">
        <f aca="false">S108*R108</f>
        <v>544410</v>
      </c>
      <c r="U108" s="5" t="n">
        <f aca="false">S108-T108</f>
        <v>17602590</v>
      </c>
      <c r="V108" s="3" t="s">
        <v>81</v>
      </c>
    </row>
    <row r="109" customFormat="false" ht="15" hidden="false" customHeight="false" outlineLevel="0" collapsed="false">
      <c r="A109" s="2" t="n">
        <v>46058</v>
      </c>
      <c r="B109" s="3" t="s">
        <v>257</v>
      </c>
      <c r="C109" s="3" t="s">
        <v>37</v>
      </c>
      <c r="D109" s="3" t="s">
        <v>38</v>
      </c>
      <c r="E109" s="3" t="s">
        <v>39</v>
      </c>
      <c r="F109" s="3" t="s">
        <v>40</v>
      </c>
      <c r="G109" s="3" t="s">
        <v>39</v>
      </c>
      <c r="H109" s="3" t="s">
        <v>41</v>
      </c>
      <c r="I109" s="3" t="s">
        <v>42</v>
      </c>
      <c r="J109" s="3" t="s">
        <v>43</v>
      </c>
      <c r="K109" s="3" t="s">
        <v>119</v>
      </c>
      <c r="L109" s="3" t="s">
        <v>120</v>
      </c>
      <c r="M109" s="3" t="s">
        <v>33</v>
      </c>
      <c r="N109" s="3" t="s">
        <v>33</v>
      </c>
      <c r="O109" s="4" t="n">
        <v>62</v>
      </c>
      <c r="P109" s="3" t="s">
        <v>34</v>
      </c>
      <c r="Q109" s="5" t="n">
        <v>18900</v>
      </c>
      <c r="R109" s="6" t="n">
        <v>0</v>
      </c>
      <c r="S109" s="5" t="n">
        <f aca="false">O109*Q109</f>
        <v>1171800</v>
      </c>
      <c r="T109" s="5" t="n">
        <f aca="false">S109*R109</f>
        <v>0</v>
      </c>
      <c r="U109" s="5" t="n">
        <f aca="false">S109-T109</f>
        <v>1171800</v>
      </c>
      <c r="V109" s="3" t="s">
        <v>39</v>
      </c>
    </row>
    <row r="110" customFormat="false" ht="15" hidden="false" customHeight="false" outlineLevel="0" collapsed="false">
      <c r="A110" s="2" t="n">
        <v>46058</v>
      </c>
      <c r="B110" s="3" t="s">
        <v>258</v>
      </c>
      <c r="C110" s="3" t="s">
        <v>37</v>
      </c>
      <c r="D110" s="3" t="s">
        <v>38</v>
      </c>
      <c r="E110" s="3" t="s">
        <v>39</v>
      </c>
      <c r="F110" s="3" t="s">
        <v>40</v>
      </c>
      <c r="G110" s="3" t="s">
        <v>39</v>
      </c>
      <c r="H110" s="3" t="s">
        <v>41</v>
      </c>
      <c r="I110" s="3" t="s">
        <v>42</v>
      </c>
      <c r="J110" s="3" t="s">
        <v>43</v>
      </c>
      <c r="K110" s="3" t="s">
        <v>128</v>
      </c>
      <c r="L110" s="3" t="s">
        <v>129</v>
      </c>
      <c r="M110" s="3" t="s">
        <v>130</v>
      </c>
      <c r="N110" s="3" t="s">
        <v>131</v>
      </c>
      <c r="O110" s="4" t="n">
        <v>161</v>
      </c>
      <c r="P110" s="3" t="s">
        <v>48</v>
      </c>
      <c r="Q110" s="5" t="n">
        <v>84500</v>
      </c>
      <c r="R110" s="6" t="n">
        <v>0.05</v>
      </c>
      <c r="S110" s="5" t="n">
        <f aca="false">O110*Q110</f>
        <v>13604500</v>
      </c>
      <c r="T110" s="5" t="n">
        <f aca="false">S110*R110</f>
        <v>680225</v>
      </c>
      <c r="U110" s="5" t="n">
        <f aca="false">S110-T110</f>
        <v>12924275</v>
      </c>
      <c r="V110" s="3" t="s">
        <v>39</v>
      </c>
    </row>
    <row r="111" customFormat="false" ht="15" hidden="false" customHeight="false" outlineLevel="0" collapsed="false">
      <c r="A111" s="2" t="n">
        <v>46059</v>
      </c>
      <c r="B111" s="3" t="s">
        <v>259</v>
      </c>
      <c r="C111" s="3" t="s">
        <v>151</v>
      </c>
      <c r="D111" s="3" t="s">
        <v>152</v>
      </c>
      <c r="E111" s="3" t="s">
        <v>76</v>
      </c>
      <c r="F111" s="3" t="s">
        <v>153</v>
      </c>
      <c r="G111" s="3" t="s">
        <v>86</v>
      </c>
      <c r="H111" s="3" t="s">
        <v>87</v>
      </c>
      <c r="I111" s="3" t="s">
        <v>88</v>
      </c>
      <c r="J111" s="3" t="s">
        <v>89</v>
      </c>
      <c r="K111" s="3" t="s">
        <v>144</v>
      </c>
      <c r="L111" s="3" t="s">
        <v>145</v>
      </c>
      <c r="M111" s="3" t="s">
        <v>146</v>
      </c>
      <c r="N111" s="3" t="s">
        <v>111</v>
      </c>
      <c r="O111" s="4" t="n">
        <v>400</v>
      </c>
      <c r="P111" s="3" t="s">
        <v>48</v>
      </c>
      <c r="Q111" s="5" t="n">
        <v>89000</v>
      </c>
      <c r="R111" s="6" t="n">
        <v>0.1</v>
      </c>
      <c r="S111" s="5" t="n">
        <f aca="false">O111*Q111</f>
        <v>35600000</v>
      </c>
      <c r="T111" s="5" t="n">
        <f aca="false">S111*R111</f>
        <v>3560000</v>
      </c>
      <c r="U111" s="5" t="n">
        <f aca="false">S111-T111</f>
        <v>32040000</v>
      </c>
      <c r="V111" s="3" t="s">
        <v>81</v>
      </c>
    </row>
    <row r="112" customFormat="false" ht="15" hidden="false" customHeight="false" outlineLevel="0" collapsed="false">
      <c r="A112" s="2" t="n">
        <v>46059</v>
      </c>
      <c r="B112" s="3" t="s">
        <v>260</v>
      </c>
      <c r="C112" s="3" t="s">
        <v>104</v>
      </c>
      <c r="D112" s="3" t="s">
        <v>105</v>
      </c>
      <c r="E112" s="3" t="s">
        <v>25</v>
      </c>
      <c r="F112" s="3" t="s">
        <v>106</v>
      </c>
      <c r="G112" s="3" t="s">
        <v>27</v>
      </c>
      <c r="H112" s="3" t="s">
        <v>53</v>
      </c>
      <c r="I112" s="3" t="s">
        <v>54</v>
      </c>
      <c r="J112" s="3" t="s">
        <v>55</v>
      </c>
      <c r="K112" s="3" t="s">
        <v>108</v>
      </c>
      <c r="L112" s="3" t="s">
        <v>109</v>
      </c>
      <c r="M112" s="3" t="s">
        <v>110</v>
      </c>
      <c r="N112" s="3" t="s">
        <v>111</v>
      </c>
      <c r="O112" s="4" t="n">
        <v>146</v>
      </c>
      <c r="P112" s="3" t="s">
        <v>48</v>
      </c>
      <c r="Q112" s="5" t="n">
        <v>112000</v>
      </c>
      <c r="R112" s="6" t="n">
        <v>0.12</v>
      </c>
      <c r="S112" s="5" t="n">
        <f aca="false">O112*Q112</f>
        <v>16352000</v>
      </c>
      <c r="T112" s="5" t="n">
        <f aca="false">S112*R112</f>
        <v>1962240</v>
      </c>
      <c r="U112" s="5" t="n">
        <f aca="false">S112-T112</f>
        <v>14389760</v>
      </c>
      <c r="V112" s="3" t="s">
        <v>35</v>
      </c>
    </row>
    <row r="113" customFormat="false" ht="15" hidden="false" customHeight="false" outlineLevel="0" collapsed="false">
      <c r="A113" s="2" t="n">
        <v>46060</v>
      </c>
      <c r="B113" s="3" t="s">
        <v>261</v>
      </c>
      <c r="C113" s="3" t="s">
        <v>50</v>
      </c>
      <c r="D113" s="3" t="s">
        <v>51</v>
      </c>
      <c r="E113" s="3" t="s">
        <v>25</v>
      </c>
      <c r="F113" s="3" t="s">
        <v>52</v>
      </c>
      <c r="G113" s="3" t="s">
        <v>27</v>
      </c>
      <c r="H113" s="3" t="s">
        <v>53</v>
      </c>
      <c r="I113" s="3" t="s">
        <v>54</v>
      </c>
      <c r="J113" s="3" t="s">
        <v>55</v>
      </c>
      <c r="K113" s="3" t="s">
        <v>115</v>
      </c>
      <c r="L113" s="3" t="s">
        <v>116</v>
      </c>
      <c r="M113" s="3" t="s">
        <v>92</v>
      </c>
      <c r="N113" s="3" t="s">
        <v>117</v>
      </c>
      <c r="O113" s="4" t="n">
        <v>97</v>
      </c>
      <c r="P113" s="3" t="s">
        <v>48</v>
      </c>
      <c r="Q113" s="5" t="n">
        <v>42300</v>
      </c>
      <c r="R113" s="6" t="n">
        <v>0.08</v>
      </c>
      <c r="S113" s="5" t="n">
        <f aca="false">O113*Q113</f>
        <v>4103100</v>
      </c>
      <c r="T113" s="5" t="n">
        <f aca="false">S113*R113</f>
        <v>328248</v>
      </c>
      <c r="U113" s="5" t="n">
        <f aca="false">S113-T113</f>
        <v>3774852</v>
      </c>
      <c r="V113" s="3" t="s">
        <v>35</v>
      </c>
    </row>
    <row r="114" customFormat="false" ht="15" hidden="false" customHeight="false" outlineLevel="0" collapsed="false">
      <c r="A114" s="2" t="n">
        <v>46060</v>
      </c>
      <c r="B114" s="3" t="s">
        <v>262</v>
      </c>
      <c r="C114" s="3" t="s">
        <v>37</v>
      </c>
      <c r="D114" s="3" t="s">
        <v>38</v>
      </c>
      <c r="E114" s="3" t="s">
        <v>39</v>
      </c>
      <c r="F114" s="3" t="s">
        <v>40</v>
      </c>
      <c r="G114" s="3" t="s">
        <v>39</v>
      </c>
      <c r="H114" s="3" t="s">
        <v>41</v>
      </c>
      <c r="I114" s="3" t="s">
        <v>42</v>
      </c>
      <c r="J114" s="3" t="s">
        <v>43</v>
      </c>
      <c r="K114" s="3" t="s">
        <v>31</v>
      </c>
      <c r="L114" s="3" t="s">
        <v>32</v>
      </c>
      <c r="M114" s="3" t="s">
        <v>33</v>
      </c>
      <c r="N114" s="3" t="s">
        <v>33</v>
      </c>
      <c r="O114" s="4" t="n">
        <v>100</v>
      </c>
      <c r="P114" s="3" t="s">
        <v>34</v>
      </c>
      <c r="Q114" s="5" t="n">
        <v>34200</v>
      </c>
      <c r="R114" s="6" t="n">
        <v>0.02</v>
      </c>
      <c r="S114" s="5" t="n">
        <f aca="false">O114*Q114</f>
        <v>3420000</v>
      </c>
      <c r="T114" s="5" t="n">
        <f aca="false">S114*R114</f>
        <v>68400</v>
      </c>
      <c r="U114" s="5" t="n">
        <f aca="false">S114-T114</f>
        <v>3351600</v>
      </c>
      <c r="V114" s="3" t="s">
        <v>39</v>
      </c>
    </row>
    <row r="115" customFormat="false" ht="15" hidden="false" customHeight="false" outlineLevel="0" collapsed="false">
      <c r="A115" s="2" t="n">
        <v>46061</v>
      </c>
      <c r="B115" s="3" t="s">
        <v>263</v>
      </c>
      <c r="C115" s="3" t="s">
        <v>113</v>
      </c>
      <c r="D115" s="3" t="s">
        <v>114</v>
      </c>
      <c r="E115" s="3" t="s">
        <v>25</v>
      </c>
      <c r="F115" s="3" t="s">
        <v>85</v>
      </c>
      <c r="G115" s="3" t="s">
        <v>27</v>
      </c>
      <c r="H115" s="3" t="s">
        <v>28</v>
      </c>
      <c r="I115" s="3" t="s">
        <v>29</v>
      </c>
      <c r="J115" s="3" t="s">
        <v>30</v>
      </c>
      <c r="K115" s="3" t="s">
        <v>162</v>
      </c>
      <c r="L115" s="3" t="s">
        <v>163</v>
      </c>
      <c r="M115" s="3" t="s">
        <v>58</v>
      </c>
      <c r="N115" s="3" t="s">
        <v>59</v>
      </c>
      <c r="O115" s="4" t="n">
        <v>94</v>
      </c>
      <c r="P115" s="3" t="s">
        <v>48</v>
      </c>
      <c r="Q115" s="5" t="n">
        <v>48500</v>
      </c>
      <c r="R115" s="6" t="n">
        <v>0.08</v>
      </c>
      <c r="S115" s="5" t="n">
        <f aca="false">O115*Q115</f>
        <v>4559000</v>
      </c>
      <c r="T115" s="5" t="n">
        <f aca="false">S115*R115</f>
        <v>364720</v>
      </c>
      <c r="U115" s="5" t="n">
        <f aca="false">S115-T115</f>
        <v>4194280</v>
      </c>
      <c r="V115" s="3" t="s">
        <v>35</v>
      </c>
    </row>
    <row r="116" customFormat="false" ht="15" hidden="false" customHeight="false" outlineLevel="0" collapsed="false">
      <c r="A116" s="2" t="n">
        <v>46061</v>
      </c>
      <c r="B116" s="3" t="s">
        <v>264</v>
      </c>
      <c r="C116" s="3" t="s">
        <v>137</v>
      </c>
      <c r="D116" s="3" t="s">
        <v>138</v>
      </c>
      <c r="E116" s="3" t="s">
        <v>76</v>
      </c>
      <c r="F116" s="3" t="s">
        <v>40</v>
      </c>
      <c r="G116" s="3" t="s">
        <v>77</v>
      </c>
      <c r="H116" s="3" t="s">
        <v>78</v>
      </c>
      <c r="I116" s="3" t="s">
        <v>79</v>
      </c>
      <c r="J116" s="3" t="s">
        <v>80</v>
      </c>
      <c r="K116" s="3" t="s">
        <v>108</v>
      </c>
      <c r="L116" s="3" t="s">
        <v>109</v>
      </c>
      <c r="M116" s="3" t="s">
        <v>110</v>
      </c>
      <c r="N116" s="3" t="s">
        <v>111</v>
      </c>
      <c r="O116" s="4" t="n">
        <v>219</v>
      </c>
      <c r="P116" s="3" t="s">
        <v>48</v>
      </c>
      <c r="Q116" s="5" t="n">
        <v>112000</v>
      </c>
      <c r="R116" s="6" t="n">
        <v>0.05</v>
      </c>
      <c r="S116" s="5" t="n">
        <f aca="false">O116*Q116</f>
        <v>24528000</v>
      </c>
      <c r="T116" s="5" t="n">
        <f aca="false">S116*R116</f>
        <v>1226400</v>
      </c>
      <c r="U116" s="5" t="n">
        <f aca="false">S116-T116</f>
        <v>23301600</v>
      </c>
      <c r="V116" s="3" t="s">
        <v>81</v>
      </c>
    </row>
    <row r="117" customFormat="false" ht="15" hidden="false" customHeight="false" outlineLevel="0" collapsed="false">
      <c r="A117" s="2" t="n">
        <v>46062</v>
      </c>
      <c r="B117" s="3" t="s">
        <v>265</v>
      </c>
      <c r="C117" s="3" t="s">
        <v>37</v>
      </c>
      <c r="D117" s="3" t="s">
        <v>38</v>
      </c>
      <c r="E117" s="3" t="s">
        <v>39</v>
      </c>
      <c r="F117" s="3" t="s">
        <v>40</v>
      </c>
      <c r="G117" s="3" t="s">
        <v>39</v>
      </c>
      <c r="H117" s="3" t="s">
        <v>68</v>
      </c>
      <c r="I117" s="3" t="s">
        <v>69</v>
      </c>
      <c r="J117" s="3" t="s">
        <v>70</v>
      </c>
      <c r="K117" s="3" t="s">
        <v>144</v>
      </c>
      <c r="L117" s="3" t="s">
        <v>145</v>
      </c>
      <c r="M117" s="3" t="s">
        <v>146</v>
      </c>
      <c r="N117" s="3" t="s">
        <v>111</v>
      </c>
      <c r="O117" s="4" t="n">
        <v>262</v>
      </c>
      <c r="P117" s="3" t="s">
        <v>48</v>
      </c>
      <c r="Q117" s="5" t="n">
        <v>89000</v>
      </c>
      <c r="R117" s="6" t="n">
        <v>0.05</v>
      </c>
      <c r="S117" s="5" t="n">
        <f aca="false">O117*Q117</f>
        <v>23318000</v>
      </c>
      <c r="T117" s="5" t="n">
        <f aca="false">S117*R117</f>
        <v>1165900</v>
      </c>
      <c r="U117" s="5" t="n">
        <f aca="false">S117-T117</f>
        <v>22152100</v>
      </c>
      <c r="V117" s="3" t="s">
        <v>39</v>
      </c>
    </row>
    <row r="118" customFormat="false" ht="15" hidden="false" customHeight="false" outlineLevel="0" collapsed="false">
      <c r="A118" s="2" t="n">
        <v>46062</v>
      </c>
      <c r="B118" s="3" t="s">
        <v>266</v>
      </c>
      <c r="C118" s="3" t="s">
        <v>137</v>
      </c>
      <c r="D118" s="3" t="s">
        <v>138</v>
      </c>
      <c r="E118" s="3" t="s">
        <v>76</v>
      </c>
      <c r="F118" s="3" t="s">
        <v>40</v>
      </c>
      <c r="G118" s="3" t="s">
        <v>77</v>
      </c>
      <c r="H118" s="3" t="s">
        <v>78</v>
      </c>
      <c r="I118" s="3" t="s">
        <v>79</v>
      </c>
      <c r="J118" s="3" t="s">
        <v>80</v>
      </c>
      <c r="K118" s="3" t="s">
        <v>64</v>
      </c>
      <c r="L118" s="3" t="s">
        <v>65</v>
      </c>
      <c r="M118" s="3" t="s">
        <v>33</v>
      </c>
      <c r="N118" s="3" t="s">
        <v>33</v>
      </c>
      <c r="O118" s="4" t="n">
        <v>222</v>
      </c>
      <c r="P118" s="3" t="s">
        <v>66</v>
      </c>
      <c r="Q118" s="5" t="n">
        <v>28500</v>
      </c>
      <c r="R118" s="6" t="n">
        <v>0.03</v>
      </c>
      <c r="S118" s="5" t="n">
        <f aca="false">O118*Q118</f>
        <v>6327000</v>
      </c>
      <c r="T118" s="5" t="n">
        <f aca="false">S118*R118</f>
        <v>189810</v>
      </c>
      <c r="U118" s="5" t="n">
        <f aca="false">S118-T118</f>
        <v>6137190</v>
      </c>
      <c r="V118" s="3" t="s">
        <v>81</v>
      </c>
    </row>
    <row r="119" customFormat="false" ht="15" hidden="false" customHeight="false" outlineLevel="0" collapsed="false">
      <c r="A119" s="2" t="n">
        <v>46063</v>
      </c>
      <c r="B119" s="3" t="s">
        <v>267</v>
      </c>
      <c r="C119" s="3" t="s">
        <v>126</v>
      </c>
      <c r="D119" s="3" t="s">
        <v>127</v>
      </c>
      <c r="E119" s="3" t="s">
        <v>76</v>
      </c>
      <c r="F119" s="3" t="s">
        <v>40</v>
      </c>
      <c r="G119" s="3" t="s">
        <v>77</v>
      </c>
      <c r="H119" s="3" t="s">
        <v>78</v>
      </c>
      <c r="I119" s="3" t="s">
        <v>79</v>
      </c>
      <c r="J119" s="3" t="s">
        <v>80</v>
      </c>
      <c r="K119" s="3" t="s">
        <v>64</v>
      </c>
      <c r="L119" s="3" t="s">
        <v>65</v>
      </c>
      <c r="M119" s="3" t="s">
        <v>33</v>
      </c>
      <c r="N119" s="3" t="s">
        <v>33</v>
      </c>
      <c r="O119" s="4" t="n">
        <v>104</v>
      </c>
      <c r="P119" s="3" t="s">
        <v>66</v>
      </c>
      <c r="Q119" s="5" t="n">
        <v>28500</v>
      </c>
      <c r="R119" s="6" t="n">
        <v>0.05</v>
      </c>
      <c r="S119" s="5" t="n">
        <f aca="false">O119*Q119</f>
        <v>2964000</v>
      </c>
      <c r="T119" s="5" t="n">
        <f aca="false">S119*R119</f>
        <v>148200</v>
      </c>
      <c r="U119" s="5" t="n">
        <f aca="false">S119-T119</f>
        <v>2815800</v>
      </c>
      <c r="V119" s="3" t="s">
        <v>81</v>
      </c>
    </row>
    <row r="120" customFormat="false" ht="15" hidden="false" customHeight="false" outlineLevel="0" collapsed="false">
      <c r="A120" s="2" t="n">
        <v>46064</v>
      </c>
      <c r="B120" s="3" t="s">
        <v>268</v>
      </c>
      <c r="C120" s="3" t="s">
        <v>230</v>
      </c>
      <c r="D120" s="3" t="s">
        <v>231</v>
      </c>
      <c r="E120" s="3" t="s">
        <v>76</v>
      </c>
      <c r="F120" s="3" t="s">
        <v>232</v>
      </c>
      <c r="G120" s="3" t="s">
        <v>86</v>
      </c>
      <c r="H120" s="3" t="s">
        <v>87</v>
      </c>
      <c r="I120" s="3" t="s">
        <v>88</v>
      </c>
      <c r="J120" s="3" t="s">
        <v>89</v>
      </c>
      <c r="K120" s="3" t="s">
        <v>31</v>
      </c>
      <c r="L120" s="3" t="s">
        <v>32</v>
      </c>
      <c r="M120" s="3" t="s">
        <v>33</v>
      </c>
      <c r="N120" s="3" t="s">
        <v>33</v>
      </c>
      <c r="O120" s="4" t="n">
        <v>181</v>
      </c>
      <c r="P120" s="3" t="s">
        <v>34</v>
      </c>
      <c r="Q120" s="5" t="n">
        <v>34200</v>
      </c>
      <c r="R120" s="6" t="n">
        <v>0.02</v>
      </c>
      <c r="S120" s="5" t="n">
        <f aca="false">O120*Q120</f>
        <v>6190200</v>
      </c>
      <c r="T120" s="5" t="n">
        <f aca="false">S120*R120</f>
        <v>123804</v>
      </c>
      <c r="U120" s="5" t="n">
        <f aca="false">S120-T120</f>
        <v>6066396</v>
      </c>
      <c r="V120" s="3" t="s">
        <v>81</v>
      </c>
    </row>
    <row r="121" customFormat="false" ht="15" hidden="false" customHeight="false" outlineLevel="0" collapsed="false">
      <c r="A121" s="2" t="n">
        <v>46065</v>
      </c>
      <c r="B121" s="3" t="s">
        <v>269</v>
      </c>
      <c r="C121" s="3" t="s">
        <v>37</v>
      </c>
      <c r="D121" s="3" t="s">
        <v>38</v>
      </c>
      <c r="E121" s="3" t="s">
        <v>39</v>
      </c>
      <c r="F121" s="3" t="s">
        <v>40</v>
      </c>
      <c r="G121" s="3" t="s">
        <v>39</v>
      </c>
      <c r="H121" s="3" t="s">
        <v>41</v>
      </c>
      <c r="I121" s="3" t="s">
        <v>42</v>
      </c>
      <c r="J121" s="3" t="s">
        <v>43</v>
      </c>
      <c r="K121" s="3" t="s">
        <v>56</v>
      </c>
      <c r="L121" s="3" t="s">
        <v>57</v>
      </c>
      <c r="M121" s="3" t="s">
        <v>58</v>
      </c>
      <c r="N121" s="3" t="s">
        <v>59</v>
      </c>
      <c r="O121" s="4" t="n">
        <v>248</v>
      </c>
      <c r="P121" s="3" t="s">
        <v>48</v>
      </c>
      <c r="Q121" s="5" t="n">
        <v>52800</v>
      </c>
      <c r="R121" s="6" t="n">
        <v>0.05</v>
      </c>
      <c r="S121" s="5" t="n">
        <f aca="false">O121*Q121</f>
        <v>13094400</v>
      </c>
      <c r="T121" s="5" t="n">
        <f aca="false">S121*R121</f>
        <v>654720</v>
      </c>
      <c r="U121" s="5" t="n">
        <f aca="false">S121-T121</f>
        <v>12439680</v>
      </c>
      <c r="V121" s="3" t="s">
        <v>39</v>
      </c>
    </row>
    <row r="122" customFormat="false" ht="15" hidden="false" customHeight="false" outlineLevel="0" collapsed="false">
      <c r="A122" s="2" t="n">
        <v>46065</v>
      </c>
      <c r="B122" s="3" t="s">
        <v>270</v>
      </c>
      <c r="C122" s="3" t="s">
        <v>83</v>
      </c>
      <c r="D122" s="3" t="s">
        <v>84</v>
      </c>
      <c r="E122" s="3" t="s">
        <v>76</v>
      </c>
      <c r="F122" s="3" t="s">
        <v>85</v>
      </c>
      <c r="G122" s="3" t="s">
        <v>86</v>
      </c>
      <c r="H122" s="3" t="s">
        <v>87</v>
      </c>
      <c r="I122" s="3" t="s">
        <v>88</v>
      </c>
      <c r="J122" s="3" t="s">
        <v>89</v>
      </c>
      <c r="K122" s="3" t="s">
        <v>98</v>
      </c>
      <c r="L122" s="3" t="s">
        <v>99</v>
      </c>
      <c r="M122" s="3" t="s">
        <v>46</v>
      </c>
      <c r="N122" s="3" t="s">
        <v>47</v>
      </c>
      <c r="O122" s="4" t="n">
        <v>239</v>
      </c>
      <c r="P122" s="3" t="s">
        <v>48</v>
      </c>
      <c r="Q122" s="5" t="n">
        <v>138500</v>
      </c>
      <c r="R122" s="6" t="n">
        <v>0.02</v>
      </c>
      <c r="S122" s="5" t="n">
        <f aca="false">O122*Q122</f>
        <v>33101500</v>
      </c>
      <c r="T122" s="5" t="n">
        <f aca="false">S122*R122</f>
        <v>662030</v>
      </c>
      <c r="U122" s="5" t="n">
        <f aca="false">S122-T122</f>
        <v>32439470</v>
      </c>
      <c r="V122" s="3" t="s">
        <v>81</v>
      </c>
    </row>
    <row r="123" customFormat="false" ht="15" hidden="false" customHeight="false" outlineLevel="0" collapsed="false">
      <c r="A123" s="2" t="n">
        <v>46066</v>
      </c>
      <c r="B123" s="3" t="s">
        <v>271</v>
      </c>
      <c r="C123" s="3" t="s">
        <v>83</v>
      </c>
      <c r="D123" s="3" t="s">
        <v>84</v>
      </c>
      <c r="E123" s="3" t="s">
        <v>76</v>
      </c>
      <c r="F123" s="3" t="s">
        <v>85</v>
      </c>
      <c r="G123" s="3" t="s">
        <v>86</v>
      </c>
      <c r="H123" s="3" t="s">
        <v>87</v>
      </c>
      <c r="I123" s="3" t="s">
        <v>88</v>
      </c>
      <c r="J123" s="3" t="s">
        <v>89</v>
      </c>
      <c r="K123" s="3" t="s">
        <v>128</v>
      </c>
      <c r="L123" s="3" t="s">
        <v>129</v>
      </c>
      <c r="M123" s="3" t="s">
        <v>130</v>
      </c>
      <c r="N123" s="3" t="s">
        <v>131</v>
      </c>
      <c r="O123" s="4" t="n">
        <v>524</v>
      </c>
      <c r="P123" s="3" t="s">
        <v>48</v>
      </c>
      <c r="Q123" s="5" t="n">
        <v>84500</v>
      </c>
      <c r="R123" s="6" t="n">
        <v>0.08</v>
      </c>
      <c r="S123" s="5" t="n">
        <f aca="false">O123*Q123</f>
        <v>44278000</v>
      </c>
      <c r="T123" s="5" t="n">
        <f aca="false">S123*R123</f>
        <v>3542240</v>
      </c>
      <c r="U123" s="5" t="n">
        <f aca="false">S123-T123</f>
        <v>40735760</v>
      </c>
      <c r="V123" s="3" t="s">
        <v>81</v>
      </c>
    </row>
    <row r="124" customFormat="false" ht="15" hidden="false" customHeight="false" outlineLevel="0" collapsed="false">
      <c r="A124" s="2" t="n">
        <v>46066</v>
      </c>
      <c r="B124" s="3" t="s">
        <v>272</v>
      </c>
      <c r="C124" s="3" t="s">
        <v>188</v>
      </c>
      <c r="D124" s="3" t="s">
        <v>189</v>
      </c>
      <c r="E124" s="3" t="s">
        <v>76</v>
      </c>
      <c r="F124" s="3" t="s">
        <v>85</v>
      </c>
      <c r="G124" s="3" t="s">
        <v>77</v>
      </c>
      <c r="H124" s="3" t="s">
        <v>78</v>
      </c>
      <c r="I124" s="3" t="s">
        <v>79</v>
      </c>
      <c r="J124" s="3" t="s">
        <v>80</v>
      </c>
      <c r="K124" s="3" t="s">
        <v>128</v>
      </c>
      <c r="L124" s="3" t="s">
        <v>129</v>
      </c>
      <c r="M124" s="3" t="s">
        <v>130</v>
      </c>
      <c r="N124" s="3" t="s">
        <v>131</v>
      </c>
      <c r="O124" s="4" t="n">
        <v>669</v>
      </c>
      <c r="P124" s="3" t="s">
        <v>48</v>
      </c>
      <c r="Q124" s="5" t="n">
        <v>84500</v>
      </c>
      <c r="R124" s="6" t="n">
        <v>0.1</v>
      </c>
      <c r="S124" s="5" t="n">
        <f aca="false">O124*Q124</f>
        <v>56530500</v>
      </c>
      <c r="T124" s="5" t="n">
        <f aca="false">S124*R124</f>
        <v>5653050</v>
      </c>
      <c r="U124" s="5" t="n">
        <f aca="false">S124-T124</f>
        <v>50877450</v>
      </c>
      <c r="V124" s="3" t="s">
        <v>81</v>
      </c>
    </row>
    <row r="125" customFormat="false" ht="15" hidden="false" customHeight="false" outlineLevel="0" collapsed="false">
      <c r="A125" s="2" t="n">
        <v>46066</v>
      </c>
      <c r="B125" s="3" t="s">
        <v>273</v>
      </c>
      <c r="C125" s="3" t="s">
        <v>101</v>
      </c>
      <c r="D125" s="3" t="s">
        <v>102</v>
      </c>
      <c r="E125" s="3" t="s">
        <v>25</v>
      </c>
      <c r="F125" s="3" t="s">
        <v>40</v>
      </c>
      <c r="G125" s="3" t="s">
        <v>27</v>
      </c>
      <c r="H125" s="3" t="s">
        <v>28</v>
      </c>
      <c r="I125" s="3" t="s">
        <v>29</v>
      </c>
      <c r="J125" s="3" t="s">
        <v>30</v>
      </c>
      <c r="K125" s="3" t="s">
        <v>162</v>
      </c>
      <c r="L125" s="3" t="s">
        <v>163</v>
      </c>
      <c r="M125" s="3" t="s">
        <v>58</v>
      </c>
      <c r="N125" s="3" t="s">
        <v>59</v>
      </c>
      <c r="O125" s="4" t="n">
        <v>136</v>
      </c>
      <c r="P125" s="3" t="s">
        <v>48</v>
      </c>
      <c r="Q125" s="5" t="n">
        <v>48500</v>
      </c>
      <c r="R125" s="6" t="n">
        <v>0.15</v>
      </c>
      <c r="S125" s="5" t="n">
        <f aca="false">O125*Q125</f>
        <v>6596000</v>
      </c>
      <c r="T125" s="5" t="n">
        <f aca="false">S125*R125</f>
        <v>989400</v>
      </c>
      <c r="U125" s="5" t="n">
        <f aca="false">S125-T125</f>
        <v>5606600</v>
      </c>
      <c r="V125" s="3" t="s">
        <v>35</v>
      </c>
    </row>
    <row r="126" customFormat="false" ht="15" hidden="false" customHeight="false" outlineLevel="0" collapsed="false">
      <c r="A126" s="2" t="n">
        <v>46066</v>
      </c>
      <c r="B126" s="3" t="s">
        <v>274</v>
      </c>
      <c r="C126" s="3" t="s">
        <v>83</v>
      </c>
      <c r="D126" s="3" t="s">
        <v>84</v>
      </c>
      <c r="E126" s="3" t="s">
        <v>76</v>
      </c>
      <c r="F126" s="3" t="s">
        <v>85</v>
      </c>
      <c r="G126" s="3" t="s">
        <v>86</v>
      </c>
      <c r="H126" s="3" t="s">
        <v>87</v>
      </c>
      <c r="I126" s="3" t="s">
        <v>88</v>
      </c>
      <c r="J126" s="3" t="s">
        <v>89</v>
      </c>
      <c r="K126" s="3" t="s">
        <v>148</v>
      </c>
      <c r="L126" s="3" t="s">
        <v>149</v>
      </c>
      <c r="M126" s="3" t="s">
        <v>130</v>
      </c>
      <c r="N126" s="3" t="s">
        <v>131</v>
      </c>
      <c r="O126" s="4" t="n">
        <v>353</v>
      </c>
      <c r="P126" s="3" t="s">
        <v>48</v>
      </c>
      <c r="Q126" s="5" t="n">
        <v>78900</v>
      </c>
      <c r="R126" s="6" t="n">
        <v>0.05</v>
      </c>
      <c r="S126" s="5" t="n">
        <f aca="false">O126*Q126</f>
        <v>27851700</v>
      </c>
      <c r="T126" s="5" t="n">
        <f aca="false">S126*R126</f>
        <v>1392585</v>
      </c>
      <c r="U126" s="5" t="n">
        <f aca="false">S126-T126</f>
        <v>26459115</v>
      </c>
      <c r="V126" s="3" t="s">
        <v>81</v>
      </c>
    </row>
    <row r="127" customFormat="false" ht="15" hidden="false" customHeight="false" outlineLevel="0" collapsed="false">
      <c r="A127" s="2" t="n">
        <v>46066</v>
      </c>
      <c r="B127" s="3" t="s">
        <v>275</v>
      </c>
      <c r="C127" s="3" t="s">
        <v>23</v>
      </c>
      <c r="D127" s="3" t="s">
        <v>24</v>
      </c>
      <c r="E127" s="3" t="s">
        <v>25</v>
      </c>
      <c r="F127" s="3" t="s">
        <v>26</v>
      </c>
      <c r="G127" s="3" t="s">
        <v>27</v>
      </c>
      <c r="H127" s="3" t="s">
        <v>53</v>
      </c>
      <c r="I127" s="3" t="s">
        <v>54</v>
      </c>
      <c r="J127" s="3" t="s">
        <v>55</v>
      </c>
      <c r="K127" s="3" t="s">
        <v>162</v>
      </c>
      <c r="L127" s="3" t="s">
        <v>163</v>
      </c>
      <c r="M127" s="3" t="s">
        <v>58</v>
      </c>
      <c r="N127" s="3" t="s">
        <v>59</v>
      </c>
      <c r="O127" s="4" t="n">
        <v>79</v>
      </c>
      <c r="P127" s="3" t="s">
        <v>48</v>
      </c>
      <c r="Q127" s="5" t="n">
        <v>48500</v>
      </c>
      <c r="R127" s="6" t="n">
        <v>0.12</v>
      </c>
      <c r="S127" s="5" t="n">
        <f aca="false">O127*Q127</f>
        <v>3831500</v>
      </c>
      <c r="T127" s="5" t="n">
        <f aca="false">S127*R127</f>
        <v>459780</v>
      </c>
      <c r="U127" s="5" t="n">
        <f aca="false">S127-T127</f>
        <v>3371720</v>
      </c>
      <c r="V127" s="3" t="s">
        <v>35</v>
      </c>
    </row>
    <row r="128" customFormat="false" ht="15" hidden="false" customHeight="false" outlineLevel="0" collapsed="false">
      <c r="A128" s="2" t="n">
        <v>46066</v>
      </c>
      <c r="B128" s="3" t="s">
        <v>276</v>
      </c>
      <c r="C128" s="3" t="s">
        <v>156</v>
      </c>
      <c r="D128" s="3" t="s">
        <v>157</v>
      </c>
      <c r="E128" s="3" t="s">
        <v>76</v>
      </c>
      <c r="F128" s="3" t="s">
        <v>40</v>
      </c>
      <c r="G128" s="3" t="s">
        <v>77</v>
      </c>
      <c r="H128" s="3" t="s">
        <v>78</v>
      </c>
      <c r="I128" s="3" t="s">
        <v>79</v>
      </c>
      <c r="J128" s="3" t="s">
        <v>80</v>
      </c>
      <c r="K128" s="3" t="s">
        <v>148</v>
      </c>
      <c r="L128" s="3" t="s">
        <v>149</v>
      </c>
      <c r="M128" s="3" t="s">
        <v>130</v>
      </c>
      <c r="N128" s="3" t="s">
        <v>131</v>
      </c>
      <c r="O128" s="4" t="n">
        <v>91</v>
      </c>
      <c r="P128" s="3" t="s">
        <v>48</v>
      </c>
      <c r="Q128" s="5" t="n">
        <v>78900</v>
      </c>
      <c r="R128" s="6" t="n">
        <v>0.02</v>
      </c>
      <c r="S128" s="5" t="n">
        <f aca="false">O128*Q128</f>
        <v>7179900</v>
      </c>
      <c r="T128" s="5" t="n">
        <f aca="false">S128*R128</f>
        <v>143598</v>
      </c>
      <c r="U128" s="5" t="n">
        <f aca="false">S128-T128</f>
        <v>7036302</v>
      </c>
      <c r="V128" s="3" t="s">
        <v>81</v>
      </c>
    </row>
    <row r="129" customFormat="false" ht="15" hidden="false" customHeight="false" outlineLevel="0" collapsed="false">
      <c r="A129" s="2" t="n">
        <v>46066</v>
      </c>
      <c r="B129" s="3" t="s">
        <v>277</v>
      </c>
      <c r="C129" s="3" t="s">
        <v>188</v>
      </c>
      <c r="D129" s="3" t="s">
        <v>189</v>
      </c>
      <c r="E129" s="3" t="s">
        <v>76</v>
      </c>
      <c r="F129" s="3" t="s">
        <v>85</v>
      </c>
      <c r="G129" s="3" t="s">
        <v>77</v>
      </c>
      <c r="H129" s="3" t="s">
        <v>78</v>
      </c>
      <c r="I129" s="3" t="s">
        <v>79</v>
      </c>
      <c r="J129" s="3" t="s">
        <v>80</v>
      </c>
      <c r="K129" s="3" t="s">
        <v>56</v>
      </c>
      <c r="L129" s="3" t="s">
        <v>57</v>
      </c>
      <c r="M129" s="3" t="s">
        <v>58</v>
      </c>
      <c r="N129" s="3" t="s">
        <v>59</v>
      </c>
      <c r="O129" s="4" t="n">
        <v>561</v>
      </c>
      <c r="P129" s="3" t="s">
        <v>48</v>
      </c>
      <c r="Q129" s="5" t="n">
        <v>52800</v>
      </c>
      <c r="R129" s="6" t="n">
        <v>0.1</v>
      </c>
      <c r="S129" s="5" t="n">
        <f aca="false">O129*Q129</f>
        <v>29620800</v>
      </c>
      <c r="T129" s="5" t="n">
        <f aca="false">S129*R129</f>
        <v>2962080</v>
      </c>
      <c r="U129" s="5" t="n">
        <f aca="false">S129-T129</f>
        <v>26658720</v>
      </c>
      <c r="V129" s="3" t="s">
        <v>81</v>
      </c>
    </row>
    <row r="130" customFormat="false" ht="15" hidden="false" customHeight="false" outlineLevel="0" collapsed="false">
      <c r="A130" s="2" t="n">
        <v>46067</v>
      </c>
      <c r="B130" s="3" t="s">
        <v>278</v>
      </c>
      <c r="C130" s="3" t="s">
        <v>61</v>
      </c>
      <c r="D130" s="3" t="s">
        <v>62</v>
      </c>
      <c r="E130" s="3" t="s">
        <v>25</v>
      </c>
      <c r="F130" s="3" t="s">
        <v>63</v>
      </c>
      <c r="G130" s="3" t="s">
        <v>27</v>
      </c>
      <c r="H130" s="3" t="s">
        <v>28</v>
      </c>
      <c r="I130" s="3" t="s">
        <v>29</v>
      </c>
      <c r="J130" s="3" t="s">
        <v>30</v>
      </c>
      <c r="K130" s="3" t="s">
        <v>98</v>
      </c>
      <c r="L130" s="3" t="s">
        <v>99</v>
      </c>
      <c r="M130" s="3" t="s">
        <v>46</v>
      </c>
      <c r="N130" s="3" t="s">
        <v>47</v>
      </c>
      <c r="O130" s="4" t="n">
        <v>140</v>
      </c>
      <c r="P130" s="3" t="s">
        <v>48</v>
      </c>
      <c r="Q130" s="5" t="n">
        <v>138500</v>
      </c>
      <c r="R130" s="6" t="n">
        <v>0.08</v>
      </c>
      <c r="S130" s="5" t="n">
        <f aca="false">O130*Q130</f>
        <v>19390000</v>
      </c>
      <c r="T130" s="5" t="n">
        <f aca="false">S130*R130</f>
        <v>1551200</v>
      </c>
      <c r="U130" s="5" t="n">
        <f aca="false">S130-T130</f>
        <v>17838800</v>
      </c>
      <c r="V130" s="3" t="s">
        <v>35</v>
      </c>
    </row>
    <row r="131" customFormat="false" ht="15" hidden="false" customHeight="false" outlineLevel="0" collapsed="false">
      <c r="A131" s="2" t="n">
        <v>46068</v>
      </c>
      <c r="B131" s="3" t="s">
        <v>279</v>
      </c>
      <c r="C131" s="3" t="s">
        <v>122</v>
      </c>
      <c r="D131" s="3" t="s">
        <v>123</v>
      </c>
      <c r="E131" s="3" t="s">
        <v>76</v>
      </c>
      <c r="F131" s="3" t="s">
        <v>124</v>
      </c>
      <c r="G131" s="3" t="s">
        <v>86</v>
      </c>
      <c r="H131" s="3" t="s">
        <v>87</v>
      </c>
      <c r="I131" s="3" t="s">
        <v>88</v>
      </c>
      <c r="J131" s="3" t="s">
        <v>89</v>
      </c>
      <c r="K131" s="3" t="s">
        <v>144</v>
      </c>
      <c r="L131" s="3" t="s">
        <v>145</v>
      </c>
      <c r="M131" s="3" t="s">
        <v>146</v>
      </c>
      <c r="N131" s="3" t="s">
        <v>111</v>
      </c>
      <c r="O131" s="4" t="n">
        <v>548</v>
      </c>
      <c r="P131" s="3" t="s">
        <v>48</v>
      </c>
      <c r="Q131" s="5" t="n">
        <v>89000</v>
      </c>
      <c r="R131" s="6" t="n">
        <v>0.1</v>
      </c>
      <c r="S131" s="5" t="n">
        <f aca="false">O131*Q131</f>
        <v>48772000</v>
      </c>
      <c r="T131" s="5" t="n">
        <f aca="false">S131*R131</f>
        <v>4877200</v>
      </c>
      <c r="U131" s="5" t="n">
        <f aca="false">S131-T131</f>
        <v>43894800</v>
      </c>
      <c r="V131" s="3" t="s">
        <v>81</v>
      </c>
    </row>
    <row r="132" customFormat="false" ht="15" hidden="false" customHeight="false" outlineLevel="0" collapsed="false">
      <c r="A132" s="2" t="n">
        <v>46068</v>
      </c>
      <c r="B132" s="3" t="s">
        <v>280</v>
      </c>
      <c r="C132" s="3" t="s">
        <v>37</v>
      </c>
      <c r="D132" s="3" t="s">
        <v>38</v>
      </c>
      <c r="E132" s="3" t="s">
        <v>39</v>
      </c>
      <c r="F132" s="3" t="s">
        <v>40</v>
      </c>
      <c r="G132" s="3" t="s">
        <v>39</v>
      </c>
      <c r="H132" s="3" t="s">
        <v>68</v>
      </c>
      <c r="I132" s="3" t="s">
        <v>69</v>
      </c>
      <c r="J132" s="3" t="s">
        <v>70</v>
      </c>
      <c r="K132" s="3" t="s">
        <v>192</v>
      </c>
      <c r="L132" s="3" t="s">
        <v>193</v>
      </c>
      <c r="M132" s="3" t="s">
        <v>46</v>
      </c>
      <c r="N132" s="3" t="s">
        <v>194</v>
      </c>
      <c r="O132" s="4" t="n">
        <v>198</v>
      </c>
      <c r="P132" s="3" t="s">
        <v>48</v>
      </c>
      <c r="Q132" s="5" t="n">
        <v>168000</v>
      </c>
      <c r="R132" s="6" t="n">
        <v>0.05</v>
      </c>
      <c r="S132" s="5" t="n">
        <f aca="false">O132*Q132</f>
        <v>33264000</v>
      </c>
      <c r="T132" s="5" t="n">
        <f aca="false">S132*R132</f>
        <v>1663200</v>
      </c>
      <c r="U132" s="5" t="n">
        <f aca="false">S132-T132</f>
        <v>31600800</v>
      </c>
      <c r="V132" s="3" t="s">
        <v>39</v>
      </c>
    </row>
    <row r="133" customFormat="false" ht="15" hidden="false" customHeight="false" outlineLevel="0" collapsed="false">
      <c r="A133" s="2" t="n">
        <v>46068</v>
      </c>
      <c r="B133" s="3" t="s">
        <v>281</v>
      </c>
      <c r="C133" s="3" t="s">
        <v>122</v>
      </c>
      <c r="D133" s="3" t="s">
        <v>123</v>
      </c>
      <c r="E133" s="3" t="s">
        <v>76</v>
      </c>
      <c r="F133" s="3" t="s">
        <v>124</v>
      </c>
      <c r="G133" s="3" t="s">
        <v>86</v>
      </c>
      <c r="H133" s="3" t="s">
        <v>87</v>
      </c>
      <c r="I133" s="3" t="s">
        <v>88</v>
      </c>
      <c r="J133" s="3" t="s">
        <v>89</v>
      </c>
      <c r="K133" s="3" t="s">
        <v>115</v>
      </c>
      <c r="L133" s="3" t="s">
        <v>116</v>
      </c>
      <c r="M133" s="3" t="s">
        <v>92</v>
      </c>
      <c r="N133" s="3" t="s">
        <v>117</v>
      </c>
      <c r="O133" s="4" t="n">
        <v>612</v>
      </c>
      <c r="P133" s="3" t="s">
        <v>48</v>
      </c>
      <c r="Q133" s="5" t="n">
        <v>42300</v>
      </c>
      <c r="R133" s="6" t="n">
        <v>0.1</v>
      </c>
      <c r="S133" s="5" t="n">
        <f aca="false">O133*Q133</f>
        <v>25887600</v>
      </c>
      <c r="T133" s="5" t="n">
        <f aca="false">S133*R133</f>
        <v>2588760</v>
      </c>
      <c r="U133" s="5" t="n">
        <f aca="false">S133-T133</f>
        <v>23298840</v>
      </c>
      <c r="V133" s="3" t="s">
        <v>81</v>
      </c>
    </row>
    <row r="134" customFormat="false" ht="15" hidden="false" customHeight="false" outlineLevel="0" collapsed="false">
      <c r="A134" s="2" t="n">
        <v>46069</v>
      </c>
      <c r="B134" s="3" t="s">
        <v>282</v>
      </c>
      <c r="C134" s="3" t="s">
        <v>37</v>
      </c>
      <c r="D134" s="3" t="s">
        <v>38</v>
      </c>
      <c r="E134" s="3" t="s">
        <v>39</v>
      </c>
      <c r="F134" s="3" t="s">
        <v>40</v>
      </c>
      <c r="G134" s="3" t="s">
        <v>39</v>
      </c>
      <c r="H134" s="3" t="s">
        <v>68</v>
      </c>
      <c r="I134" s="3" t="s">
        <v>69</v>
      </c>
      <c r="J134" s="3" t="s">
        <v>70</v>
      </c>
      <c r="K134" s="3" t="s">
        <v>56</v>
      </c>
      <c r="L134" s="3" t="s">
        <v>57</v>
      </c>
      <c r="M134" s="3" t="s">
        <v>58</v>
      </c>
      <c r="N134" s="3" t="s">
        <v>59</v>
      </c>
      <c r="O134" s="4" t="n">
        <v>229</v>
      </c>
      <c r="P134" s="3" t="s">
        <v>48</v>
      </c>
      <c r="Q134" s="5" t="n">
        <v>52800</v>
      </c>
      <c r="R134" s="6" t="n">
        <v>0.05</v>
      </c>
      <c r="S134" s="5" t="n">
        <f aca="false">O134*Q134</f>
        <v>12091200</v>
      </c>
      <c r="T134" s="5" t="n">
        <f aca="false">S134*R134</f>
        <v>604560</v>
      </c>
      <c r="U134" s="5" t="n">
        <f aca="false">S134-T134</f>
        <v>11486640</v>
      </c>
      <c r="V134" s="3" t="s">
        <v>39</v>
      </c>
    </row>
    <row r="135" customFormat="false" ht="15" hidden="false" customHeight="false" outlineLevel="0" collapsed="false">
      <c r="A135" s="2" t="n">
        <v>46069</v>
      </c>
      <c r="B135" s="3" t="s">
        <v>283</v>
      </c>
      <c r="C135" s="3" t="s">
        <v>83</v>
      </c>
      <c r="D135" s="3" t="s">
        <v>84</v>
      </c>
      <c r="E135" s="3" t="s">
        <v>76</v>
      </c>
      <c r="F135" s="3" t="s">
        <v>85</v>
      </c>
      <c r="G135" s="3" t="s">
        <v>86</v>
      </c>
      <c r="H135" s="3" t="s">
        <v>87</v>
      </c>
      <c r="I135" s="3" t="s">
        <v>88</v>
      </c>
      <c r="J135" s="3" t="s">
        <v>89</v>
      </c>
      <c r="K135" s="3" t="s">
        <v>31</v>
      </c>
      <c r="L135" s="3" t="s">
        <v>32</v>
      </c>
      <c r="M135" s="3" t="s">
        <v>33</v>
      </c>
      <c r="N135" s="3" t="s">
        <v>33</v>
      </c>
      <c r="O135" s="4" t="n">
        <v>144</v>
      </c>
      <c r="P135" s="3" t="s">
        <v>34</v>
      </c>
      <c r="Q135" s="5" t="n">
        <v>34200</v>
      </c>
      <c r="R135" s="6" t="n">
        <v>0.03</v>
      </c>
      <c r="S135" s="5" t="n">
        <f aca="false">O135*Q135</f>
        <v>4924800</v>
      </c>
      <c r="T135" s="5" t="n">
        <f aca="false">S135*R135</f>
        <v>147744</v>
      </c>
      <c r="U135" s="5" t="n">
        <f aca="false">S135-T135</f>
        <v>4777056</v>
      </c>
      <c r="V135" s="3" t="s">
        <v>81</v>
      </c>
    </row>
    <row r="136" customFormat="false" ht="15" hidden="false" customHeight="false" outlineLevel="0" collapsed="false">
      <c r="A136" s="2" t="n">
        <v>46069</v>
      </c>
      <c r="B136" s="3" t="s">
        <v>284</v>
      </c>
      <c r="C136" s="3" t="s">
        <v>137</v>
      </c>
      <c r="D136" s="3" t="s">
        <v>138</v>
      </c>
      <c r="E136" s="3" t="s">
        <v>76</v>
      </c>
      <c r="F136" s="3" t="s">
        <v>40</v>
      </c>
      <c r="G136" s="3" t="s">
        <v>77</v>
      </c>
      <c r="H136" s="3" t="s">
        <v>78</v>
      </c>
      <c r="I136" s="3" t="s">
        <v>79</v>
      </c>
      <c r="J136" s="3" t="s">
        <v>80</v>
      </c>
      <c r="K136" s="3" t="s">
        <v>148</v>
      </c>
      <c r="L136" s="3" t="s">
        <v>149</v>
      </c>
      <c r="M136" s="3" t="s">
        <v>130</v>
      </c>
      <c r="N136" s="3" t="s">
        <v>131</v>
      </c>
      <c r="O136" s="4" t="n">
        <v>239</v>
      </c>
      <c r="P136" s="3" t="s">
        <v>48</v>
      </c>
      <c r="Q136" s="5" t="n">
        <v>78900</v>
      </c>
      <c r="R136" s="6" t="n">
        <v>0.03</v>
      </c>
      <c r="S136" s="5" t="n">
        <f aca="false">O136*Q136</f>
        <v>18857100</v>
      </c>
      <c r="T136" s="5" t="n">
        <f aca="false">S136*R136</f>
        <v>565713</v>
      </c>
      <c r="U136" s="5" t="n">
        <f aca="false">S136-T136</f>
        <v>18291387</v>
      </c>
      <c r="V136" s="3" t="s">
        <v>81</v>
      </c>
    </row>
    <row r="137" customFormat="false" ht="15" hidden="false" customHeight="false" outlineLevel="0" collapsed="false">
      <c r="A137" s="2" t="n">
        <v>46069</v>
      </c>
      <c r="B137" s="3" t="s">
        <v>285</v>
      </c>
      <c r="C137" s="3" t="s">
        <v>151</v>
      </c>
      <c r="D137" s="3" t="s">
        <v>152</v>
      </c>
      <c r="E137" s="3" t="s">
        <v>76</v>
      </c>
      <c r="F137" s="3" t="s">
        <v>153</v>
      </c>
      <c r="G137" s="3" t="s">
        <v>86</v>
      </c>
      <c r="H137" s="3" t="s">
        <v>87</v>
      </c>
      <c r="I137" s="3" t="s">
        <v>88</v>
      </c>
      <c r="J137" s="3" t="s">
        <v>89</v>
      </c>
      <c r="K137" s="3" t="s">
        <v>56</v>
      </c>
      <c r="L137" s="3" t="s">
        <v>57</v>
      </c>
      <c r="M137" s="3" t="s">
        <v>58</v>
      </c>
      <c r="N137" s="3" t="s">
        <v>59</v>
      </c>
      <c r="O137" s="4" t="n">
        <v>364</v>
      </c>
      <c r="P137" s="3" t="s">
        <v>48</v>
      </c>
      <c r="Q137" s="5" t="n">
        <v>52800</v>
      </c>
      <c r="R137" s="6" t="n">
        <v>0.1</v>
      </c>
      <c r="S137" s="5" t="n">
        <f aca="false">O137*Q137</f>
        <v>19219200</v>
      </c>
      <c r="T137" s="5" t="n">
        <f aca="false">S137*R137</f>
        <v>1921920</v>
      </c>
      <c r="U137" s="5" t="n">
        <f aca="false">S137-T137</f>
        <v>17297280</v>
      </c>
      <c r="V137" s="3" t="s">
        <v>81</v>
      </c>
    </row>
    <row r="138" customFormat="false" ht="15" hidden="false" customHeight="false" outlineLevel="0" collapsed="false">
      <c r="A138" s="2" t="n">
        <v>46069</v>
      </c>
      <c r="B138" s="3" t="s">
        <v>286</v>
      </c>
      <c r="C138" s="3" t="s">
        <v>113</v>
      </c>
      <c r="D138" s="3" t="s">
        <v>114</v>
      </c>
      <c r="E138" s="3" t="s">
        <v>25</v>
      </c>
      <c r="F138" s="3" t="s">
        <v>85</v>
      </c>
      <c r="G138" s="3" t="s">
        <v>27</v>
      </c>
      <c r="H138" s="3" t="s">
        <v>133</v>
      </c>
      <c r="I138" s="3" t="s">
        <v>134</v>
      </c>
      <c r="J138" s="3" t="s">
        <v>135</v>
      </c>
      <c r="K138" s="3" t="s">
        <v>90</v>
      </c>
      <c r="L138" s="3" t="s">
        <v>91</v>
      </c>
      <c r="M138" s="3" t="s">
        <v>92</v>
      </c>
      <c r="N138" s="3" t="s">
        <v>59</v>
      </c>
      <c r="O138" s="4" t="n">
        <v>116</v>
      </c>
      <c r="P138" s="3" t="s">
        <v>48</v>
      </c>
      <c r="Q138" s="5" t="n">
        <v>96500</v>
      </c>
      <c r="R138" s="6" t="n">
        <v>0.12</v>
      </c>
      <c r="S138" s="5" t="n">
        <f aca="false">O138*Q138</f>
        <v>11194000</v>
      </c>
      <c r="T138" s="5" t="n">
        <f aca="false">S138*R138</f>
        <v>1343280</v>
      </c>
      <c r="U138" s="5" t="n">
        <f aca="false">S138-T138</f>
        <v>9850720</v>
      </c>
      <c r="V138" s="3" t="s">
        <v>35</v>
      </c>
    </row>
    <row r="139" customFormat="false" ht="15" hidden="false" customHeight="false" outlineLevel="0" collapsed="false">
      <c r="A139" s="2" t="n">
        <v>46069</v>
      </c>
      <c r="B139" s="3" t="s">
        <v>287</v>
      </c>
      <c r="C139" s="3" t="s">
        <v>122</v>
      </c>
      <c r="D139" s="3" t="s">
        <v>123</v>
      </c>
      <c r="E139" s="3" t="s">
        <v>76</v>
      </c>
      <c r="F139" s="3" t="s">
        <v>124</v>
      </c>
      <c r="G139" s="3" t="s">
        <v>86</v>
      </c>
      <c r="H139" s="3" t="s">
        <v>87</v>
      </c>
      <c r="I139" s="3" t="s">
        <v>88</v>
      </c>
      <c r="J139" s="3" t="s">
        <v>89</v>
      </c>
      <c r="K139" s="3" t="s">
        <v>128</v>
      </c>
      <c r="L139" s="3" t="s">
        <v>129</v>
      </c>
      <c r="M139" s="3" t="s">
        <v>130</v>
      </c>
      <c r="N139" s="3" t="s">
        <v>131</v>
      </c>
      <c r="O139" s="4" t="n">
        <v>521</v>
      </c>
      <c r="P139" s="3" t="s">
        <v>48</v>
      </c>
      <c r="Q139" s="5" t="n">
        <v>84500</v>
      </c>
      <c r="R139" s="6" t="n">
        <v>0.08</v>
      </c>
      <c r="S139" s="5" t="n">
        <f aca="false">O139*Q139</f>
        <v>44024500</v>
      </c>
      <c r="T139" s="5" t="n">
        <f aca="false">S139*R139</f>
        <v>3521960</v>
      </c>
      <c r="U139" s="5" t="n">
        <f aca="false">S139-T139</f>
        <v>40502540</v>
      </c>
      <c r="V139" s="3" t="s">
        <v>81</v>
      </c>
    </row>
    <row r="140" customFormat="false" ht="15" hidden="false" customHeight="false" outlineLevel="0" collapsed="false">
      <c r="A140" s="2" t="n">
        <v>46070</v>
      </c>
      <c r="B140" s="3" t="s">
        <v>288</v>
      </c>
      <c r="C140" s="3" t="s">
        <v>23</v>
      </c>
      <c r="D140" s="3" t="s">
        <v>24</v>
      </c>
      <c r="E140" s="3" t="s">
        <v>25</v>
      </c>
      <c r="F140" s="3" t="s">
        <v>26</v>
      </c>
      <c r="G140" s="3" t="s">
        <v>27</v>
      </c>
      <c r="H140" s="3" t="s">
        <v>28</v>
      </c>
      <c r="I140" s="3" t="s">
        <v>29</v>
      </c>
      <c r="J140" s="3" t="s">
        <v>30</v>
      </c>
      <c r="K140" s="3" t="s">
        <v>56</v>
      </c>
      <c r="L140" s="3" t="s">
        <v>57</v>
      </c>
      <c r="M140" s="3" t="s">
        <v>58</v>
      </c>
      <c r="N140" s="3" t="s">
        <v>59</v>
      </c>
      <c r="O140" s="4" t="n">
        <v>107</v>
      </c>
      <c r="P140" s="3" t="s">
        <v>48</v>
      </c>
      <c r="Q140" s="5" t="n">
        <v>52800</v>
      </c>
      <c r="R140" s="6" t="n">
        <v>0.12</v>
      </c>
      <c r="S140" s="5" t="n">
        <f aca="false">O140*Q140</f>
        <v>5649600</v>
      </c>
      <c r="T140" s="5" t="n">
        <f aca="false">S140*R140</f>
        <v>677952</v>
      </c>
      <c r="U140" s="5" t="n">
        <f aca="false">S140-T140</f>
        <v>4971648</v>
      </c>
      <c r="V140" s="3" t="s">
        <v>35</v>
      </c>
    </row>
    <row r="141" customFormat="false" ht="15" hidden="false" customHeight="false" outlineLevel="0" collapsed="false">
      <c r="A141" s="2" t="n">
        <v>46070</v>
      </c>
      <c r="B141" s="3" t="s">
        <v>289</v>
      </c>
      <c r="C141" s="3" t="s">
        <v>83</v>
      </c>
      <c r="D141" s="3" t="s">
        <v>84</v>
      </c>
      <c r="E141" s="3" t="s">
        <v>76</v>
      </c>
      <c r="F141" s="3" t="s">
        <v>85</v>
      </c>
      <c r="G141" s="3" t="s">
        <v>86</v>
      </c>
      <c r="H141" s="3" t="s">
        <v>87</v>
      </c>
      <c r="I141" s="3" t="s">
        <v>88</v>
      </c>
      <c r="J141" s="3" t="s">
        <v>89</v>
      </c>
      <c r="K141" s="3" t="s">
        <v>56</v>
      </c>
      <c r="L141" s="3" t="s">
        <v>57</v>
      </c>
      <c r="M141" s="3" t="s">
        <v>58</v>
      </c>
      <c r="N141" s="3" t="s">
        <v>59</v>
      </c>
      <c r="O141" s="4" t="n">
        <v>147</v>
      </c>
      <c r="P141" s="3" t="s">
        <v>48</v>
      </c>
      <c r="Q141" s="5" t="n">
        <v>52800</v>
      </c>
      <c r="R141" s="6" t="n">
        <v>0.03</v>
      </c>
      <c r="S141" s="5" t="n">
        <f aca="false">O141*Q141</f>
        <v>7761600</v>
      </c>
      <c r="T141" s="5" t="n">
        <f aca="false">S141*R141</f>
        <v>232848</v>
      </c>
      <c r="U141" s="5" t="n">
        <f aca="false">S141-T141</f>
        <v>7528752</v>
      </c>
      <c r="V141" s="3" t="s">
        <v>81</v>
      </c>
    </row>
    <row r="142" customFormat="false" ht="15" hidden="false" customHeight="false" outlineLevel="0" collapsed="false">
      <c r="A142" s="2" t="n">
        <v>46070</v>
      </c>
      <c r="B142" s="3" t="s">
        <v>290</v>
      </c>
      <c r="C142" s="3" t="s">
        <v>126</v>
      </c>
      <c r="D142" s="3" t="s">
        <v>127</v>
      </c>
      <c r="E142" s="3" t="s">
        <v>76</v>
      </c>
      <c r="F142" s="3" t="s">
        <v>40</v>
      </c>
      <c r="G142" s="3" t="s">
        <v>77</v>
      </c>
      <c r="H142" s="3" t="s">
        <v>78</v>
      </c>
      <c r="I142" s="3" t="s">
        <v>79</v>
      </c>
      <c r="J142" s="3" t="s">
        <v>80</v>
      </c>
      <c r="K142" s="3" t="s">
        <v>90</v>
      </c>
      <c r="L142" s="3" t="s">
        <v>91</v>
      </c>
      <c r="M142" s="3" t="s">
        <v>92</v>
      </c>
      <c r="N142" s="3" t="s">
        <v>59</v>
      </c>
      <c r="O142" s="4" t="n">
        <v>469</v>
      </c>
      <c r="P142" s="3" t="s">
        <v>48</v>
      </c>
      <c r="Q142" s="5" t="n">
        <v>96500</v>
      </c>
      <c r="R142" s="6" t="n">
        <v>0.05</v>
      </c>
      <c r="S142" s="5" t="n">
        <f aca="false">O142*Q142</f>
        <v>45258500</v>
      </c>
      <c r="T142" s="5" t="n">
        <f aca="false">S142*R142</f>
        <v>2262925</v>
      </c>
      <c r="U142" s="5" t="n">
        <f aca="false">S142-T142</f>
        <v>42995575</v>
      </c>
      <c r="V142" s="3" t="s">
        <v>81</v>
      </c>
    </row>
    <row r="143" customFormat="false" ht="15" hidden="false" customHeight="false" outlineLevel="0" collapsed="false">
      <c r="A143" s="2" t="n">
        <v>46070</v>
      </c>
      <c r="B143" s="3" t="s">
        <v>291</v>
      </c>
      <c r="C143" s="3" t="s">
        <v>74</v>
      </c>
      <c r="D143" s="3" t="s">
        <v>75</v>
      </c>
      <c r="E143" s="3" t="s">
        <v>76</v>
      </c>
      <c r="F143" s="3" t="s">
        <v>26</v>
      </c>
      <c r="G143" s="3" t="s">
        <v>77</v>
      </c>
      <c r="H143" s="3" t="s">
        <v>78</v>
      </c>
      <c r="I143" s="3" t="s">
        <v>79</v>
      </c>
      <c r="J143" s="3" t="s">
        <v>80</v>
      </c>
      <c r="K143" s="3" t="s">
        <v>128</v>
      </c>
      <c r="L143" s="3" t="s">
        <v>129</v>
      </c>
      <c r="M143" s="3" t="s">
        <v>130</v>
      </c>
      <c r="N143" s="3" t="s">
        <v>131</v>
      </c>
      <c r="O143" s="4" t="n">
        <v>545</v>
      </c>
      <c r="P143" s="3" t="s">
        <v>48</v>
      </c>
      <c r="Q143" s="5" t="n">
        <v>84500</v>
      </c>
      <c r="R143" s="6" t="n">
        <v>0.1</v>
      </c>
      <c r="S143" s="5" t="n">
        <f aca="false">O143*Q143</f>
        <v>46052500</v>
      </c>
      <c r="T143" s="5" t="n">
        <f aca="false">S143*R143</f>
        <v>4605250</v>
      </c>
      <c r="U143" s="5" t="n">
        <f aca="false">S143-T143</f>
        <v>41447250</v>
      </c>
      <c r="V143" s="3" t="s">
        <v>81</v>
      </c>
    </row>
    <row r="144" customFormat="false" ht="15" hidden="false" customHeight="false" outlineLevel="0" collapsed="false">
      <c r="A144" s="2" t="n">
        <v>46070</v>
      </c>
      <c r="B144" s="3" t="s">
        <v>292</v>
      </c>
      <c r="C144" s="3" t="s">
        <v>230</v>
      </c>
      <c r="D144" s="3" t="s">
        <v>231</v>
      </c>
      <c r="E144" s="3" t="s">
        <v>76</v>
      </c>
      <c r="F144" s="3" t="s">
        <v>232</v>
      </c>
      <c r="G144" s="3" t="s">
        <v>86</v>
      </c>
      <c r="H144" s="3" t="s">
        <v>87</v>
      </c>
      <c r="I144" s="3" t="s">
        <v>88</v>
      </c>
      <c r="J144" s="3" t="s">
        <v>89</v>
      </c>
      <c r="K144" s="3" t="s">
        <v>56</v>
      </c>
      <c r="L144" s="3" t="s">
        <v>57</v>
      </c>
      <c r="M144" s="3" t="s">
        <v>58</v>
      </c>
      <c r="N144" s="3" t="s">
        <v>59</v>
      </c>
      <c r="O144" s="4" t="n">
        <v>380</v>
      </c>
      <c r="P144" s="3" t="s">
        <v>48</v>
      </c>
      <c r="Q144" s="5" t="n">
        <v>52800</v>
      </c>
      <c r="R144" s="6" t="n">
        <v>0.08</v>
      </c>
      <c r="S144" s="5" t="n">
        <f aca="false">O144*Q144</f>
        <v>20064000</v>
      </c>
      <c r="T144" s="5" t="n">
        <f aca="false">S144*R144</f>
        <v>1605120</v>
      </c>
      <c r="U144" s="5" t="n">
        <f aca="false">S144-T144</f>
        <v>18458880</v>
      </c>
      <c r="V144" s="3" t="s">
        <v>81</v>
      </c>
    </row>
    <row r="145" customFormat="false" ht="15" hidden="false" customHeight="false" outlineLevel="0" collapsed="false">
      <c r="A145" s="2" t="n">
        <v>46070</v>
      </c>
      <c r="B145" s="3" t="s">
        <v>293</v>
      </c>
      <c r="C145" s="3" t="s">
        <v>104</v>
      </c>
      <c r="D145" s="3" t="s">
        <v>105</v>
      </c>
      <c r="E145" s="3" t="s">
        <v>25</v>
      </c>
      <c r="F145" s="3" t="s">
        <v>106</v>
      </c>
      <c r="G145" s="3" t="s">
        <v>27</v>
      </c>
      <c r="H145" s="3" t="s">
        <v>133</v>
      </c>
      <c r="I145" s="3" t="s">
        <v>134</v>
      </c>
      <c r="J145" s="3" t="s">
        <v>135</v>
      </c>
      <c r="K145" s="3" t="s">
        <v>108</v>
      </c>
      <c r="L145" s="3" t="s">
        <v>109</v>
      </c>
      <c r="M145" s="3" t="s">
        <v>110</v>
      </c>
      <c r="N145" s="3" t="s">
        <v>111</v>
      </c>
      <c r="O145" s="4" t="n">
        <v>182</v>
      </c>
      <c r="P145" s="3" t="s">
        <v>48</v>
      </c>
      <c r="Q145" s="5" t="n">
        <v>112000</v>
      </c>
      <c r="R145" s="6" t="n">
        <v>0.12</v>
      </c>
      <c r="S145" s="5" t="n">
        <f aca="false">O145*Q145</f>
        <v>20384000</v>
      </c>
      <c r="T145" s="5" t="n">
        <f aca="false">S145*R145</f>
        <v>2446080</v>
      </c>
      <c r="U145" s="5" t="n">
        <f aca="false">S145-T145</f>
        <v>17937920</v>
      </c>
      <c r="V145" s="3" t="s">
        <v>35</v>
      </c>
    </row>
    <row r="146" customFormat="false" ht="15" hidden="false" customHeight="false" outlineLevel="0" collapsed="false">
      <c r="A146" s="2" t="n">
        <v>46071</v>
      </c>
      <c r="B146" s="3" t="s">
        <v>294</v>
      </c>
      <c r="C146" s="3" t="s">
        <v>37</v>
      </c>
      <c r="D146" s="3" t="s">
        <v>38</v>
      </c>
      <c r="E146" s="3" t="s">
        <v>39</v>
      </c>
      <c r="F146" s="3" t="s">
        <v>40</v>
      </c>
      <c r="G146" s="3" t="s">
        <v>39</v>
      </c>
      <c r="H146" s="3" t="s">
        <v>41</v>
      </c>
      <c r="I146" s="3" t="s">
        <v>42</v>
      </c>
      <c r="J146" s="3" t="s">
        <v>43</v>
      </c>
      <c r="K146" s="3" t="s">
        <v>108</v>
      </c>
      <c r="L146" s="3" t="s">
        <v>109</v>
      </c>
      <c r="M146" s="3" t="s">
        <v>110</v>
      </c>
      <c r="N146" s="3" t="s">
        <v>111</v>
      </c>
      <c r="O146" s="4" t="n">
        <v>196</v>
      </c>
      <c r="P146" s="3" t="s">
        <v>48</v>
      </c>
      <c r="Q146" s="5" t="n">
        <v>112000</v>
      </c>
      <c r="R146" s="6" t="n">
        <v>0.05</v>
      </c>
      <c r="S146" s="5" t="n">
        <f aca="false">O146*Q146</f>
        <v>21952000</v>
      </c>
      <c r="T146" s="5" t="n">
        <f aca="false">S146*R146</f>
        <v>1097600</v>
      </c>
      <c r="U146" s="5" t="n">
        <f aca="false">S146-T146</f>
        <v>20854400</v>
      </c>
      <c r="V146" s="3" t="s">
        <v>39</v>
      </c>
    </row>
    <row r="147" customFormat="false" ht="15" hidden="false" customHeight="false" outlineLevel="0" collapsed="false">
      <c r="A147" s="2" t="n">
        <v>46071</v>
      </c>
      <c r="B147" s="3" t="s">
        <v>295</v>
      </c>
      <c r="C147" s="3" t="s">
        <v>37</v>
      </c>
      <c r="D147" s="3" t="s">
        <v>38</v>
      </c>
      <c r="E147" s="3" t="s">
        <v>39</v>
      </c>
      <c r="F147" s="3" t="s">
        <v>40</v>
      </c>
      <c r="G147" s="3" t="s">
        <v>39</v>
      </c>
      <c r="H147" s="3" t="s">
        <v>41</v>
      </c>
      <c r="I147" s="3" t="s">
        <v>42</v>
      </c>
      <c r="J147" s="3" t="s">
        <v>43</v>
      </c>
      <c r="K147" s="3" t="s">
        <v>44</v>
      </c>
      <c r="L147" s="3" t="s">
        <v>45</v>
      </c>
      <c r="M147" s="3" t="s">
        <v>46</v>
      </c>
      <c r="N147" s="3" t="s">
        <v>47</v>
      </c>
      <c r="O147" s="4" t="n">
        <v>255</v>
      </c>
      <c r="P147" s="3" t="s">
        <v>48</v>
      </c>
      <c r="Q147" s="5" t="n">
        <v>142000</v>
      </c>
      <c r="R147" s="6" t="n">
        <v>0.02</v>
      </c>
      <c r="S147" s="5" t="n">
        <f aca="false">O147*Q147</f>
        <v>36210000</v>
      </c>
      <c r="T147" s="5" t="n">
        <f aca="false">S147*R147</f>
        <v>724200</v>
      </c>
      <c r="U147" s="5" t="n">
        <f aca="false">S147-T147</f>
        <v>35485800</v>
      </c>
      <c r="V147" s="3" t="s">
        <v>39</v>
      </c>
    </row>
    <row r="148" customFormat="false" ht="15" hidden="false" customHeight="false" outlineLevel="0" collapsed="false">
      <c r="A148" s="2" t="n">
        <v>46071</v>
      </c>
      <c r="B148" s="3" t="s">
        <v>296</v>
      </c>
      <c r="C148" s="3" t="s">
        <v>83</v>
      </c>
      <c r="D148" s="3" t="s">
        <v>84</v>
      </c>
      <c r="E148" s="3" t="s">
        <v>76</v>
      </c>
      <c r="F148" s="3" t="s">
        <v>85</v>
      </c>
      <c r="G148" s="3" t="s">
        <v>86</v>
      </c>
      <c r="H148" s="3" t="s">
        <v>87</v>
      </c>
      <c r="I148" s="3" t="s">
        <v>88</v>
      </c>
      <c r="J148" s="3" t="s">
        <v>89</v>
      </c>
      <c r="K148" s="3" t="s">
        <v>71</v>
      </c>
      <c r="L148" s="3" t="s">
        <v>72</v>
      </c>
      <c r="M148" s="3" t="s">
        <v>46</v>
      </c>
      <c r="N148" s="3" t="s">
        <v>47</v>
      </c>
      <c r="O148" s="4" t="n">
        <v>584</v>
      </c>
      <c r="P148" s="3" t="s">
        <v>48</v>
      </c>
      <c r="Q148" s="5" t="n">
        <v>156000</v>
      </c>
      <c r="R148" s="6" t="n">
        <v>0.1</v>
      </c>
      <c r="S148" s="5" t="n">
        <f aca="false">O148*Q148</f>
        <v>91104000</v>
      </c>
      <c r="T148" s="5" t="n">
        <f aca="false">S148*R148</f>
        <v>9110400</v>
      </c>
      <c r="U148" s="5" t="n">
        <f aca="false">S148-T148</f>
        <v>81993600</v>
      </c>
      <c r="V148" s="3" t="s">
        <v>81</v>
      </c>
    </row>
    <row r="149" customFormat="false" ht="15" hidden="false" customHeight="false" outlineLevel="0" collapsed="false">
      <c r="A149" s="2" t="n">
        <v>46071</v>
      </c>
      <c r="B149" s="3" t="s">
        <v>297</v>
      </c>
      <c r="C149" s="3" t="s">
        <v>137</v>
      </c>
      <c r="D149" s="3" t="s">
        <v>138</v>
      </c>
      <c r="E149" s="3" t="s">
        <v>76</v>
      </c>
      <c r="F149" s="3" t="s">
        <v>40</v>
      </c>
      <c r="G149" s="3" t="s">
        <v>77</v>
      </c>
      <c r="H149" s="3" t="s">
        <v>78</v>
      </c>
      <c r="I149" s="3" t="s">
        <v>79</v>
      </c>
      <c r="J149" s="3" t="s">
        <v>80</v>
      </c>
      <c r="K149" s="3" t="s">
        <v>119</v>
      </c>
      <c r="L149" s="3" t="s">
        <v>120</v>
      </c>
      <c r="M149" s="3" t="s">
        <v>33</v>
      </c>
      <c r="N149" s="3" t="s">
        <v>33</v>
      </c>
      <c r="O149" s="4" t="n">
        <v>190</v>
      </c>
      <c r="P149" s="3" t="s">
        <v>34</v>
      </c>
      <c r="Q149" s="5" t="n">
        <v>18900</v>
      </c>
      <c r="R149" s="6" t="n">
        <v>0.03</v>
      </c>
      <c r="S149" s="5" t="n">
        <f aca="false">O149*Q149</f>
        <v>3591000</v>
      </c>
      <c r="T149" s="5" t="n">
        <f aca="false">S149*R149</f>
        <v>107730</v>
      </c>
      <c r="U149" s="5" t="n">
        <f aca="false">S149-T149</f>
        <v>3483270</v>
      </c>
      <c r="V149" s="3" t="s">
        <v>81</v>
      </c>
    </row>
    <row r="150" customFormat="false" ht="15" hidden="false" customHeight="false" outlineLevel="0" collapsed="false">
      <c r="A150" s="2" t="n">
        <v>46071</v>
      </c>
      <c r="B150" s="3" t="s">
        <v>298</v>
      </c>
      <c r="C150" s="3" t="s">
        <v>165</v>
      </c>
      <c r="D150" s="3" t="s">
        <v>166</v>
      </c>
      <c r="E150" s="3" t="s">
        <v>76</v>
      </c>
      <c r="F150" s="3" t="s">
        <v>167</v>
      </c>
      <c r="G150" s="3" t="s">
        <v>86</v>
      </c>
      <c r="H150" s="3" t="s">
        <v>87</v>
      </c>
      <c r="I150" s="3" t="s">
        <v>88</v>
      </c>
      <c r="J150" s="3" t="s">
        <v>89</v>
      </c>
      <c r="K150" s="3" t="s">
        <v>64</v>
      </c>
      <c r="L150" s="3" t="s">
        <v>65</v>
      </c>
      <c r="M150" s="3" t="s">
        <v>33</v>
      </c>
      <c r="N150" s="3" t="s">
        <v>33</v>
      </c>
      <c r="O150" s="4" t="n">
        <v>95</v>
      </c>
      <c r="P150" s="3" t="s">
        <v>66</v>
      </c>
      <c r="Q150" s="5" t="n">
        <v>28500</v>
      </c>
      <c r="R150" s="6" t="n">
        <v>0.02</v>
      </c>
      <c r="S150" s="5" t="n">
        <f aca="false">O150*Q150</f>
        <v>2707500</v>
      </c>
      <c r="T150" s="5" t="n">
        <f aca="false">S150*R150</f>
        <v>54150</v>
      </c>
      <c r="U150" s="5" t="n">
        <f aca="false">S150-T150</f>
        <v>2653350</v>
      </c>
      <c r="V150" s="3" t="s">
        <v>81</v>
      </c>
    </row>
    <row r="151" customFormat="false" ht="15" hidden="false" customHeight="false" outlineLevel="0" collapsed="false">
      <c r="A151" s="2" t="n">
        <v>46072</v>
      </c>
      <c r="B151" s="3" t="s">
        <v>299</v>
      </c>
      <c r="C151" s="3" t="s">
        <v>104</v>
      </c>
      <c r="D151" s="3" t="s">
        <v>105</v>
      </c>
      <c r="E151" s="3" t="s">
        <v>25</v>
      </c>
      <c r="F151" s="3" t="s">
        <v>106</v>
      </c>
      <c r="G151" s="3" t="s">
        <v>27</v>
      </c>
      <c r="H151" s="3" t="s">
        <v>53</v>
      </c>
      <c r="I151" s="3" t="s">
        <v>54</v>
      </c>
      <c r="J151" s="3" t="s">
        <v>55</v>
      </c>
      <c r="K151" s="3" t="s">
        <v>144</v>
      </c>
      <c r="L151" s="3" t="s">
        <v>145</v>
      </c>
      <c r="M151" s="3" t="s">
        <v>146</v>
      </c>
      <c r="N151" s="3" t="s">
        <v>111</v>
      </c>
      <c r="O151" s="4" t="n">
        <v>141</v>
      </c>
      <c r="P151" s="3" t="s">
        <v>48</v>
      </c>
      <c r="Q151" s="5" t="n">
        <v>89000</v>
      </c>
      <c r="R151" s="6" t="n">
        <v>0.15</v>
      </c>
      <c r="S151" s="5" t="n">
        <f aca="false">O151*Q151</f>
        <v>12549000</v>
      </c>
      <c r="T151" s="5" t="n">
        <f aca="false">S151*R151</f>
        <v>1882350</v>
      </c>
      <c r="U151" s="5" t="n">
        <f aca="false">S151-T151</f>
        <v>10666650</v>
      </c>
      <c r="V151" s="3" t="s">
        <v>35</v>
      </c>
    </row>
    <row r="152" customFormat="false" ht="15" hidden="false" customHeight="false" outlineLevel="0" collapsed="false">
      <c r="A152" s="2" t="n">
        <v>46072</v>
      </c>
      <c r="B152" s="3" t="s">
        <v>300</v>
      </c>
      <c r="C152" s="3" t="s">
        <v>137</v>
      </c>
      <c r="D152" s="3" t="s">
        <v>138</v>
      </c>
      <c r="E152" s="3" t="s">
        <v>76</v>
      </c>
      <c r="F152" s="3" t="s">
        <v>40</v>
      </c>
      <c r="G152" s="3" t="s">
        <v>77</v>
      </c>
      <c r="H152" s="3" t="s">
        <v>78</v>
      </c>
      <c r="I152" s="3" t="s">
        <v>79</v>
      </c>
      <c r="J152" s="3" t="s">
        <v>80</v>
      </c>
      <c r="K152" s="3" t="s">
        <v>119</v>
      </c>
      <c r="L152" s="3" t="s">
        <v>120</v>
      </c>
      <c r="M152" s="3" t="s">
        <v>33</v>
      </c>
      <c r="N152" s="3" t="s">
        <v>33</v>
      </c>
      <c r="O152" s="4" t="n">
        <v>50</v>
      </c>
      <c r="P152" s="3" t="s">
        <v>34</v>
      </c>
      <c r="Q152" s="5" t="n">
        <v>18900</v>
      </c>
      <c r="R152" s="6" t="n">
        <v>0</v>
      </c>
      <c r="S152" s="5" t="n">
        <f aca="false">O152*Q152</f>
        <v>945000</v>
      </c>
      <c r="T152" s="5" t="n">
        <f aca="false">S152*R152</f>
        <v>0</v>
      </c>
      <c r="U152" s="5" t="n">
        <f aca="false">S152-T152</f>
        <v>945000</v>
      </c>
      <c r="V152" s="3" t="s">
        <v>81</v>
      </c>
    </row>
    <row r="153" customFormat="false" ht="15" hidden="false" customHeight="false" outlineLevel="0" collapsed="false">
      <c r="A153" s="2" t="n">
        <v>46072</v>
      </c>
      <c r="B153" s="3" t="s">
        <v>301</v>
      </c>
      <c r="C153" s="3" t="s">
        <v>126</v>
      </c>
      <c r="D153" s="3" t="s">
        <v>127</v>
      </c>
      <c r="E153" s="3" t="s">
        <v>76</v>
      </c>
      <c r="F153" s="3" t="s">
        <v>40</v>
      </c>
      <c r="G153" s="3" t="s">
        <v>77</v>
      </c>
      <c r="H153" s="3" t="s">
        <v>78</v>
      </c>
      <c r="I153" s="3" t="s">
        <v>79</v>
      </c>
      <c r="J153" s="3" t="s">
        <v>80</v>
      </c>
      <c r="K153" s="3" t="s">
        <v>64</v>
      </c>
      <c r="L153" s="3" t="s">
        <v>65</v>
      </c>
      <c r="M153" s="3" t="s">
        <v>33</v>
      </c>
      <c r="N153" s="3" t="s">
        <v>33</v>
      </c>
      <c r="O153" s="4" t="n">
        <v>98</v>
      </c>
      <c r="P153" s="3" t="s">
        <v>66</v>
      </c>
      <c r="Q153" s="5" t="n">
        <v>28500</v>
      </c>
      <c r="R153" s="6" t="n">
        <v>0</v>
      </c>
      <c r="S153" s="5" t="n">
        <f aca="false">O153*Q153</f>
        <v>2793000</v>
      </c>
      <c r="T153" s="5" t="n">
        <f aca="false">S153*R153</f>
        <v>0</v>
      </c>
      <c r="U153" s="5" t="n">
        <f aca="false">S153-T153</f>
        <v>2793000</v>
      </c>
      <c r="V153" s="3" t="s">
        <v>81</v>
      </c>
    </row>
    <row r="154" customFormat="false" ht="15" hidden="false" customHeight="false" outlineLevel="0" collapsed="false">
      <c r="A154" s="2" t="n">
        <v>46072</v>
      </c>
      <c r="B154" s="3" t="s">
        <v>302</v>
      </c>
      <c r="C154" s="3" t="s">
        <v>74</v>
      </c>
      <c r="D154" s="3" t="s">
        <v>75</v>
      </c>
      <c r="E154" s="3" t="s">
        <v>76</v>
      </c>
      <c r="F154" s="3" t="s">
        <v>26</v>
      </c>
      <c r="G154" s="3" t="s">
        <v>77</v>
      </c>
      <c r="H154" s="3" t="s">
        <v>78</v>
      </c>
      <c r="I154" s="3" t="s">
        <v>79</v>
      </c>
      <c r="J154" s="3" t="s">
        <v>80</v>
      </c>
      <c r="K154" s="3" t="s">
        <v>148</v>
      </c>
      <c r="L154" s="3" t="s">
        <v>149</v>
      </c>
      <c r="M154" s="3" t="s">
        <v>130</v>
      </c>
      <c r="N154" s="3" t="s">
        <v>131</v>
      </c>
      <c r="O154" s="4" t="n">
        <v>543</v>
      </c>
      <c r="P154" s="3" t="s">
        <v>48</v>
      </c>
      <c r="Q154" s="5" t="n">
        <v>78900</v>
      </c>
      <c r="R154" s="6" t="n">
        <v>0.08</v>
      </c>
      <c r="S154" s="5" t="n">
        <f aca="false">O154*Q154</f>
        <v>42842700</v>
      </c>
      <c r="T154" s="5" t="n">
        <f aca="false">S154*R154</f>
        <v>3427416</v>
      </c>
      <c r="U154" s="5" t="n">
        <f aca="false">S154-T154</f>
        <v>39415284</v>
      </c>
      <c r="V154" s="3" t="s">
        <v>81</v>
      </c>
    </row>
    <row r="155" customFormat="false" ht="15" hidden="false" customHeight="false" outlineLevel="0" collapsed="false">
      <c r="A155" s="2" t="n">
        <v>46073</v>
      </c>
      <c r="B155" s="3" t="s">
        <v>303</v>
      </c>
      <c r="C155" s="3" t="s">
        <v>37</v>
      </c>
      <c r="D155" s="3" t="s">
        <v>38</v>
      </c>
      <c r="E155" s="3" t="s">
        <v>39</v>
      </c>
      <c r="F155" s="3" t="s">
        <v>40</v>
      </c>
      <c r="G155" s="3" t="s">
        <v>39</v>
      </c>
      <c r="H155" s="3" t="s">
        <v>68</v>
      </c>
      <c r="I155" s="3" t="s">
        <v>69</v>
      </c>
      <c r="J155" s="3" t="s">
        <v>70</v>
      </c>
      <c r="K155" s="3" t="s">
        <v>144</v>
      </c>
      <c r="L155" s="3" t="s">
        <v>145</v>
      </c>
      <c r="M155" s="3" t="s">
        <v>146</v>
      </c>
      <c r="N155" s="3" t="s">
        <v>111</v>
      </c>
      <c r="O155" s="4" t="n">
        <v>217</v>
      </c>
      <c r="P155" s="3" t="s">
        <v>48</v>
      </c>
      <c r="Q155" s="5" t="n">
        <v>89000</v>
      </c>
      <c r="R155" s="6" t="n">
        <v>0.02</v>
      </c>
      <c r="S155" s="5" t="n">
        <f aca="false">O155*Q155</f>
        <v>19313000</v>
      </c>
      <c r="T155" s="5" t="n">
        <f aca="false">S155*R155</f>
        <v>386260</v>
      </c>
      <c r="U155" s="5" t="n">
        <f aca="false">S155-T155</f>
        <v>18926740</v>
      </c>
      <c r="V155" s="3" t="s">
        <v>39</v>
      </c>
    </row>
    <row r="156" customFormat="false" ht="15" hidden="false" customHeight="false" outlineLevel="0" collapsed="false">
      <c r="A156" s="2" t="n">
        <v>46073</v>
      </c>
      <c r="B156" s="3" t="s">
        <v>304</v>
      </c>
      <c r="C156" s="3" t="s">
        <v>37</v>
      </c>
      <c r="D156" s="3" t="s">
        <v>38</v>
      </c>
      <c r="E156" s="3" t="s">
        <v>39</v>
      </c>
      <c r="F156" s="3" t="s">
        <v>40</v>
      </c>
      <c r="G156" s="3" t="s">
        <v>39</v>
      </c>
      <c r="H156" s="3" t="s">
        <v>41</v>
      </c>
      <c r="I156" s="3" t="s">
        <v>42</v>
      </c>
      <c r="J156" s="3" t="s">
        <v>43</v>
      </c>
      <c r="K156" s="3" t="s">
        <v>56</v>
      </c>
      <c r="L156" s="3" t="s">
        <v>57</v>
      </c>
      <c r="M156" s="3" t="s">
        <v>58</v>
      </c>
      <c r="N156" s="3" t="s">
        <v>59</v>
      </c>
      <c r="O156" s="4" t="n">
        <v>105</v>
      </c>
      <c r="P156" s="3" t="s">
        <v>48</v>
      </c>
      <c r="Q156" s="5" t="n">
        <v>52800</v>
      </c>
      <c r="R156" s="6" t="n">
        <v>0.05</v>
      </c>
      <c r="S156" s="5" t="n">
        <f aca="false">O156*Q156</f>
        <v>5544000</v>
      </c>
      <c r="T156" s="5" t="n">
        <f aca="false">S156*R156</f>
        <v>277200</v>
      </c>
      <c r="U156" s="5" t="n">
        <f aca="false">S156-T156</f>
        <v>5266800</v>
      </c>
      <c r="V156" s="3" t="s">
        <v>39</v>
      </c>
    </row>
    <row r="157" customFormat="false" ht="15" hidden="false" customHeight="false" outlineLevel="0" collapsed="false">
      <c r="A157" s="2" t="n">
        <v>46073</v>
      </c>
      <c r="B157" s="3" t="s">
        <v>305</v>
      </c>
      <c r="C157" s="3" t="s">
        <v>165</v>
      </c>
      <c r="D157" s="3" t="s">
        <v>166</v>
      </c>
      <c r="E157" s="3" t="s">
        <v>76</v>
      </c>
      <c r="F157" s="3" t="s">
        <v>167</v>
      </c>
      <c r="G157" s="3" t="s">
        <v>86</v>
      </c>
      <c r="H157" s="3" t="s">
        <v>87</v>
      </c>
      <c r="I157" s="3" t="s">
        <v>88</v>
      </c>
      <c r="J157" s="3" t="s">
        <v>89</v>
      </c>
      <c r="K157" s="3" t="s">
        <v>115</v>
      </c>
      <c r="L157" s="3" t="s">
        <v>116</v>
      </c>
      <c r="M157" s="3" t="s">
        <v>92</v>
      </c>
      <c r="N157" s="3" t="s">
        <v>117</v>
      </c>
      <c r="O157" s="4" t="n">
        <v>129</v>
      </c>
      <c r="P157" s="3" t="s">
        <v>48</v>
      </c>
      <c r="Q157" s="5" t="n">
        <v>42300</v>
      </c>
      <c r="R157" s="6" t="n">
        <v>0.05</v>
      </c>
      <c r="S157" s="5" t="n">
        <f aca="false">O157*Q157</f>
        <v>5456700</v>
      </c>
      <c r="T157" s="5" t="n">
        <f aca="false">S157*R157</f>
        <v>272835</v>
      </c>
      <c r="U157" s="5" t="n">
        <f aca="false">S157-T157</f>
        <v>5183865</v>
      </c>
      <c r="V157" s="3" t="s">
        <v>81</v>
      </c>
    </row>
    <row r="158" customFormat="false" ht="15" hidden="false" customHeight="false" outlineLevel="0" collapsed="false">
      <c r="A158" s="2" t="n">
        <v>46074</v>
      </c>
      <c r="B158" s="3" t="s">
        <v>306</v>
      </c>
      <c r="C158" s="3" t="s">
        <v>113</v>
      </c>
      <c r="D158" s="3" t="s">
        <v>114</v>
      </c>
      <c r="E158" s="3" t="s">
        <v>25</v>
      </c>
      <c r="F158" s="3" t="s">
        <v>85</v>
      </c>
      <c r="G158" s="3" t="s">
        <v>27</v>
      </c>
      <c r="H158" s="3" t="s">
        <v>28</v>
      </c>
      <c r="I158" s="3" t="s">
        <v>29</v>
      </c>
      <c r="J158" s="3" t="s">
        <v>30</v>
      </c>
      <c r="K158" s="3" t="s">
        <v>56</v>
      </c>
      <c r="L158" s="3" t="s">
        <v>57</v>
      </c>
      <c r="M158" s="3" t="s">
        <v>58</v>
      </c>
      <c r="N158" s="3" t="s">
        <v>59</v>
      </c>
      <c r="O158" s="4" t="n">
        <v>107</v>
      </c>
      <c r="P158" s="3" t="s">
        <v>48</v>
      </c>
      <c r="Q158" s="5" t="n">
        <v>52800</v>
      </c>
      <c r="R158" s="6" t="n">
        <v>0.15</v>
      </c>
      <c r="S158" s="5" t="n">
        <f aca="false">O158*Q158</f>
        <v>5649600</v>
      </c>
      <c r="T158" s="5" t="n">
        <f aca="false">S158*R158</f>
        <v>847440</v>
      </c>
      <c r="U158" s="5" t="n">
        <f aca="false">S158-T158</f>
        <v>4802160</v>
      </c>
      <c r="V158" s="3" t="s">
        <v>35</v>
      </c>
    </row>
    <row r="159" customFormat="false" ht="15" hidden="false" customHeight="false" outlineLevel="0" collapsed="false">
      <c r="A159" s="2" t="n">
        <v>46074</v>
      </c>
      <c r="B159" s="3" t="s">
        <v>307</v>
      </c>
      <c r="C159" s="3" t="s">
        <v>23</v>
      </c>
      <c r="D159" s="3" t="s">
        <v>24</v>
      </c>
      <c r="E159" s="3" t="s">
        <v>25</v>
      </c>
      <c r="F159" s="3" t="s">
        <v>26</v>
      </c>
      <c r="G159" s="3" t="s">
        <v>27</v>
      </c>
      <c r="H159" s="3" t="s">
        <v>53</v>
      </c>
      <c r="I159" s="3" t="s">
        <v>54</v>
      </c>
      <c r="J159" s="3" t="s">
        <v>55</v>
      </c>
      <c r="K159" s="3" t="s">
        <v>90</v>
      </c>
      <c r="L159" s="3" t="s">
        <v>91</v>
      </c>
      <c r="M159" s="3" t="s">
        <v>92</v>
      </c>
      <c r="N159" s="3" t="s">
        <v>59</v>
      </c>
      <c r="O159" s="4" t="n">
        <v>154</v>
      </c>
      <c r="P159" s="3" t="s">
        <v>48</v>
      </c>
      <c r="Q159" s="5" t="n">
        <v>96500</v>
      </c>
      <c r="R159" s="6" t="n">
        <v>0.12</v>
      </c>
      <c r="S159" s="5" t="n">
        <f aca="false">O159*Q159</f>
        <v>14861000</v>
      </c>
      <c r="T159" s="5" t="n">
        <f aca="false">S159*R159</f>
        <v>1783320</v>
      </c>
      <c r="U159" s="5" t="n">
        <f aca="false">S159-T159</f>
        <v>13077680</v>
      </c>
      <c r="V159" s="3" t="s">
        <v>35</v>
      </c>
    </row>
    <row r="160" customFormat="false" ht="15" hidden="false" customHeight="false" outlineLevel="0" collapsed="false">
      <c r="A160" s="2" t="n">
        <v>46074</v>
      </c>
      <c r="B160" s="3" t="s">
        <v>308</v>
      </c>
      <c r="C160" s="3" t="s">
        <v>61</v>
      </c>
      <c r="D160" s="3" t="s">
        <v>62</v>
      </c>
      <c r="E160" s="3" t="s">
        <v>25</v>
      </c>
      <c r="F160" s="3" t="s">
        <v>63</v>
      </c>
      <c r="G160" s="3" t="s">
        <v>27</v>
      </c>
      <c r="H160" s="3" t="s">
        <v>133</v>
      </c>
      <c r="I160" s="3" t="s">
        <v>134</v>
      </c>
      <c r="J160" s="3" t="s">
        <v>135</v>
      </c>
      <c r="K160" s="3" t="s">
        <v>31</v>
      </c>
      <c r="L160" s="3" t="s">
        <v>32</v>
      </c>
      <c r="M160" s="3" t="s">
        <v>33</v>
      </c>
      <c r="N160" s="3" t="s">
        <v>33</v>
      </c>
      <c r="O160" s="4" t="n">
        <v>185</v>
      </c>
      <c r="P160" s="3" t="s">
        <v>34</v>
      </c>
      <c r="Q160" s="5" t="n">
        <v>34200</v>
      </c>
      <c r="R160" s="6" t="n">
        <v>0.12</v>
      </c>
      <c r="S160" s="5" t="n">
        <f aca="false">O160*Q160</f>
        <v>6327000</v>
      </c>
      <c r="T160" s="5" t="n">
        <f aca="false">S160*R160</f>
        <v>759240</v>
      </c>
      <c r="U160" s="5" t="n">
        <f aca="false">S160-T160</f>
        <v>5567760</v>
      </c>
      <c r="V160" s="3" t="s">
        <v>35</v>
      </c>
    </row>
    <row r="161" customFormat="false" ht="15" hidden="false" customHeight="false" outlineLevel="0" collapsed="false">
      <c r="A161" s="2" t="n">
        <v>46074</v>
      </c>
      <c r="B161" s="3" t="s">
        <v>309</v>
      </c>
      <c r="C161" s="3" t="s">
        <v>188</v>
      </c>
      <c r="D161" s="3" t="s">
        <v>189</v>
      </c>
      <c r="E161" s="3" t="s">
        <v>76</v>
      </c>
      <c r="F161" s="3" t="s">
        <v>85</v>
      </c>
      <c r="G161" s="3" t="s">
        <v>77</v>
      </c>
      <c r="H161" s="3" t="s">
        <v>78</v>
      </c>
      <c r="I161" s="3" t="s">
        <v>79</v>
      </c>
      <c r="J161" s="3" t="s">
        <v>80</v>
      </c>
      <c r="K161" s="3" t="s">
        <v>148</v>
      </c>
      <c r="L161" s="3" t="s">
        <v>149</v>
      </c>
      <c r="M161" s="3" t="s">
        <v>130</v>
      </c>
      <c r="N161" s="3" t="s">
        <v>131</v>
      </c>
      <c r="O161" s="4" t="n">
        <v>435</v>
      </c>
      <c r="P161" s="3" t="s">
        <v>48</v>
      </c>
      <c r="Q161" s="5" t="n">
        <v>78900</v>
      </c>
      <c r="R161" s="6" t="n">
        <v>0.05</v>
      </c>
      <c r="S161" s="5" t="n">
        <f aca="false">O161*Q161</f>
        <v>34321500</v>
      </c>
      <c r="T161" s="5" t="n">
        <f aca="false">S161*R161</f>
        <v>1716075</v>
      </c>
      <c r="U161" s="5" t="n">
        <f aca="false">S161-T161</f>
        <v>32605425</v>
      </c>
      <c r="V161" s="3" t="s">
        <v>81</v>
      </c>
    </row>
    <row r="162" customFormat="false" ht="15" hidden="false" customHeight="false" outlineLevel="0" collapsed="false">
      <c r="A162" s="2" t="n">
        <v>46074</v>
      </c>
      <c r="B162" s="3" t="s">
        <v>310</v>
      </c>
      <c r="C162" s="3" t="s">
        <v>113</v>
      </c>
      <c r="D162" s="3" t="s">
        <v>114</v>
      </c>
      <c r="E162" s="3" t="s">
        <v>25</v>
      </c>
      <c r="F162" s="3" t="s">
        <v>85</v>
      </c>
      <c r="G162" s="3" t="s">
        <v>27</v>
      </c>
      <c r="H162" s="3" t="s">
        <v>133</v>
      </c>
      <c r="I162" s="3" t="s">
        <v>134</v>
      </c>
      <c r="J162" s="3" t="s">
        <v>135</v>
      </c>
      <c r="K162" s="3" t="s">
        <v>119</v>
      </c>
      <c r="L162" s="3" t="s">
        <v>120</v>
      </c>
      <c r="M162" s="3" t="s">
        <v>33</v>
      </c>
      <c r="N162" s="3" t="s">
        <v>33</v>
      </c>
      <c r="O162" s="4" t="n">
        <v>108</v>
      </c>
      <c r="P162" s="3" t="s">
        <v>34</v>
      </c>
      <c r="Q162" s="5" t="n">
        <v>18900</v>
      </c>
      <c r="R162" s="6" t="n">
        <v>0.15</v>
      </c>
      <c r="S162" s="5" t="n">
        <f aca="false">O162*Q162</f>
        <v>2041200</v>
      </c>
      <c r="T162" s="5" t="n">
        <f aca="false">S162*R162</f>
        <v>306180</v>
      </c>
      <c r="U162" s="5" t="n">
        <f aca="false">S162-T162</f>
        <v>1735020</v>
      </c>
      <c r="V162" s="3" t="s">
        <v>35</v>
      </c>
    </row>
    <row r="163" customFormat="false" ht="15" hidden="false" customHeight="false" outlineLevel="0" collapsed="false">
      <c r="A163" s="2" t="n">
        <v>46074</v>
      </c>
      <c r="B163" s="3" t="s">
        <v>311</v>
      </c>
      <c r="C163" s="3" t="s">
        <v>101</v>
      </c>
      <c r="D163" s="3" t="s">
        <v>102</v>
      </c>
      <c r="E163" s="3" t="s">
        <v>25</v>
      </c>
      <c r="F163" s="3" t="s">
        <v>40</v>
      </c>
      <c r="G163" s="3" t="s">
        <v>27</v>
      </c>
      <c r="H163" s="3" t="s">
        <v>53</v>
      </c>
      <c r="I163" s="3" t="s">
        <v>54</v>
      </c>
      <c r="J163" s="3" t="s">
        <v>55</v>
      </c>
      <c r="K163" s="3" t="s">
        <v>115</v>
      </c>
      <c r="L163" s="3" t="s">
        <v>116</v>
      </c>
      <c r="M163" s="3" t="s">
        <v>92</v>
      </c>
      <c r="N163" s="3" t="s">
        <v>117</v>
      </c>
      <c r="O163" s="4" t="n">
        <v>113</v>
      </c>
      <c r="P163" s="3" t="s">
        <v>48</v>
      </c>
      <c r="Q163" s="5" t="n">
        <v>42300</v>
      </c>
      <c r="R163" s="6" t="n">
        <v>0.08</v>
      </c>
      <c r="S163" s="5" t="n">
        <f aca="false">O163*Q163</f>
        <v>4779900</v>
      </c>
      <c r="T163" s="5" t="n">
        <f aca="false">S163*R163</f>
        <v>382392</v>
      </c>
      <c r="U163" s="5" t="n">
        <f aca="false">S163-T163</f>
        <v>4397508</v>
      </c>
      <c r="V163" s="3" t="s">
        <v>35</v>
      </c>
    </row>
    <row r="164" customFormat="false" ht="15" hidden="false" customHeight="false" outlineLevel="0" collapsed="false">
      <c r="A164" s="2" t="n">
        <v>46075</v>
      </c>
      <c r="B164" s="3" t="s">
        <v>312</v>
      </c>
      <c r="C164" s="3" t="s">
        <v>83</v>
      </c>
      <c r="D164" s="3" t="s">
        <v>84</v>
      </c>
      <c r="E164" s="3" t="s">
        <v>76</v>
      </c>
      <c r="F164" s="3" t="s">
        <v>85</v>
      </c>
      <c r="G164" s="3" t="s">
        <v>86</v>
      </c>
      <c r="H164" s="3" t="s">
        <v>87</v>
      </c>
      <c r="I164" s="3" t="s">
        <v>88</v>
      </c>
      <c r="J164" s="3" t="s">
        <v>89</v>
      </c>
      <c r="K164" s="3" t="s">
        <v>108</v>
      </c>
      <c r="L164" s="3" t="s">
        <v>109</v>
      </c>
      <c r="M164" s="3" t="s">
        <v>110</v>
      </c>
      <c r="N164" s="3" t="s">
        <v>111</v>
      </c>
      <c r="O164" s="4" t="n">
        <v>398</v>
      </c>
      <c r="P164" s="3" t="s">
        <v>48</v>
      </c>
      <c r="Q164" s="5" t="n">
        <v>112000</v>
      </c>
      <c r="R164" s="6" t="n">
        <v>0.1</v>
      </c>
      <c r="S164" s="5" t="n">
        <f aca="false">O164*Q164</f>
        <v>44576000</v>
      </c>
      <c r="T164" s="5" t="n">
        <f aca="false">S164*R164</f>
        <v>4457600</v>
      </c>
      <c r="U164" s="5" t="n">
        <f aca="false">S164-T164</f>
        <v>40118400</v>
      </c>
      <c r="V164" s="3" t="s">
        <v>81</v>
      </c>
    </row>
    <row r="165" customFormat="false" ht="15" hidden="false" customHeight="false" outlineLevel="0" collapsed="false">
      <c r="A165" s="2" t="n">
        <v>46075</v>
      </c>
      <c r="B165" s="3" t="s">
        <v>313</v>
      </c>
      <c r="C165" s="3" t="s">
        <v>104</v>
      </c>
      <c r="D165" s="3" t="s">
        <v>105</v>
      </c>
      <c r="E165" s="3" t="s">
        <v>25</v>
      </c>
      <c r="F165" s="3" t="s">
        <v>106</v>
      </c>
      <c r="G165" s="3" t="s">
        <v>27</v>
      </c>
      <c r="H165" s="3" t="s">
        <v>53</v>
      </c>
      <c r="I165" s="3" t="s">
        <v>54</v>
      </c>
      <c r="J165" s="3" t="s">
        <v>55</v>
      </c>
      <c r="K165" s="3" t="s">
        <v>71</v>
      </c>
      <c r="L165" s="3" t="s">
        <v>72</v>
      </c>
      <c r="M165" s="3" t="s">
        <v>46</v>
      </c>
      <c r="N165" s="3" t="s">
        <v>47</v>
      </c>
      <c r="O165" s="4" t="n">
        <v>89</v>
      </c>
      <c r="P165" s="3" t="s">
        <v>48</v>
      </c>
      <c r="Q165" s="5" t="n">
        <v>156000</v>
      </c>
      <c r="R165" s="6" t="n">
        <v>0.15</v>
      </c>
      <c r="S165" s="5" t="n">
        <f aca="false">O165*Q165</f>
        <v>13884000</v>
      </c>
      <c r="T165" s="5" t="n">
        <f aca="false">S165*R165</f>
        <v>2082600</v>
      </c>
      <c r="U165" s="5" t="n">
        <f aca="false">S165-T165</f>
        <v>11801400</v>
      </c>
      <c r="V165" s="3" t="s">
        <v>35</v>
      </c>
    </row>
    <row r="166" customFormat="false" ht="15" hidden="false" customHeight="false" outlineLevel="0" collapsed="false">
      <c r="A166" s="2" t="n">
        <v>46075</v>
      </c>
      <c r="B166" s="3" t="s">
        <v>314</v>
      </c>
      <c r="C166" s="3" t="s">
        <v>165</v>
      </c>
      <c r="D166" s="3" t="s">
        <v>166</v>
      </c>
      <c r="E166" s="3" t="s">
        <v>76</v>
      </c>
      <c r="F166" s="3" t="s">
        <v>167</v>
      </c>
      <c r="G166" s="3" t="s">
        <v>86</v>
      </c>
      <c r="H166" s="3" t="s">
        <v>87</v>
      </c>
      <c r="I166" s="3" t="s">
        <v>88</v>
      </c>
      <c r="J166" s="3" t="s">
        <v>89</v>
      </c>
      <c r="K166" s="3" t="s">
        <v>162</v>
      </c>
      <c r="L166" s="3" t="s">
        <v>163</v>
      </c>
      <c r="M166" s="3" t="s">
        <v>58</v>
      </c>
      <c r="N166" s="3" t="s">
        <v>59</v>
      </c>
      <c r="O166" s="4" t="n">
        <v>153</v>
      </c>
      <c r="P166" s="3" t="s">
        <v>48</v>
      </c>
      <c r="Q166" s="5" t="n">
        <v>48500</v>
      </c>
      <c r="R166" s="6" t="n">
        <v>0.03</v>
      </c>
      <c r="S166" s="5" t="n">
        <f aca="false">O166*Q166</f>
        <v>7420500</v>
      </c>
      <c r="T166" s="5" t="n">
        <f aca="false">S166*R166</f>
        <v>222615</v>
      </c>
      <c r="U166" s="5" t="n">
        <f aca="false">S166-T166</f>
        <v>7197885</v>
      </c>
      <c r="V166" s="3" t="s">
        <v>81</v>
      </c>
    </row>
    <row r="167" customFormat="false" ht="15" hidden="false" customHeight="false" outlineLevel="0" collapsed="false">
      <c r="A167" s="2" t="n">
        <v>46075</v>
      </c>
      <c r="B167" s="3" t="s">
        <v>315</v>
      </c>
      <c r="C167" s="3" t="s">
        <v>113</v>
      </c>
      <c r="D167" s="3" t="s">
        <v>114</v>
      </c>
      <c r="E167" s="3" t="s">
        <v>25</v>
      </c>
      <c r="F167" s="3" t="s">
        <v>85</v>
      </c>
      <c r="G167" s="3" t="s">
        <v>27</v>
      </c>
      <c r="H167" s="3" t="s">
        <v>133</v>
      </c>
      <c r="I167" s="3" t="s">
        <v>134</v>
      </c>
      <c r="J167" s="3" t="s">
        <v>135</v>
      </c>
      <c r="K167" s="3" t="s">
        <v>162</v>
      </c>
      <c r="L167" s="3" t="s">
        <v>163</v>
      </c>
      <c r="M167" s="3" t="s">
        <v>58</v>
      </c>
      <c r="N167" s="3" t="s">
        <v>59</v>
      </c>
      <c r="O167" s="4" t="n">
        <v>142</v>
      </c>
      <c r="P167" s="3" t="s">
        <v>48</v>
      </c>
      <c r="Q167" s="5" t="n">
        <v>48500</v>
      </c>
      <c r="R167" s="6" t="n">
        <v>0.1</v>
      </c>
      <c r="S167" s="5" t="n">
        <f aca="false">O167*Q167</f>
        <v>6887000</v>
      </c>
      <c r="T167" s="5" t="n">
        <f aca="false">S167*R167</f>
        <v>688700</v>
      </c>
      <c r="U167" s="5" t="n">
        <f aca="false">S167-T167</f>
        <v>6198300</v>
      </c>
      <c r="V167" s="3" t="s">
        <v>35</v>
      </c>
    </row>
    <row r="168" customFormat="false" ht="15" hidden="false" customHeight="false" outlineLevel="0" collapsed="false">
      <c r="A168" s="2" t="n">
        <v>46075</v>
      </c>
      <c r="B168" s="3" t="s">
        <v>316</v>
      </c>
      <c r="C168" s="3" t="s">
        <v>113</v>
      </c>
      <c r="D168" s="3" t="s">
        <v>114</v>
      </c>
      <c r="E168" s="3" t="s">
        <v>25</v>
      </c>
      <c r="F168" s="3" t="s">
        <v>85</v>
      </c>
      <c r="G168" s="3" t="s">
        <v>27</v>
      </c>
      <c r="H168" s="3" t="s">
        <v>133</v>
      </c>
      <c r="I168" s="3" t="s">
        <v>134</v>
      </c>
      <c r="J168" s="3" t="s">
        <v>135</v>
      </c>
      <c r="K168" s="3" t="s">
        <v>31</v>
      </c>
      <c r="L168" s="3" t="s">
        <v>32</v>
      </c>
      <c r="M168" s="3" t="s">
        <v>33</v>
      </c>
      <c r="N168" s="3" t="s">
        <v>33</v>
      </c>
      <c r="O168" s="4" t="n">
        <v>207</v>
      </c>
      <c r="P168" s="3" t="s">
        <v>34</v>
      </c>
      <c r="Q168" s="5" t="n">
        <v>34200</v>
      </c>
      <c r="R168" s="6" t="n">
        <v>0.08</v>
      </c>
      <c r="S168" s="5" t="n">
        <f aca="false">O168*Q168</f>
        <v>7079400</v>
      </c>
      <c r="T168" s="5" t="n">
        <f aca="false">S168*R168</f>
        <v>566352</v>
      </c>
      <c r="U168" s="5" t="n">
        <f aca="false">S168-T168</f>
        <v>6513048</v>
      </c>
      <c r="V168" s="3" t="s">
        <v>35</v>
      </c>
    </row>
    <row r="169" customFormat="false" ht="15" hidden="false" customHeight="false" outlineLevel="0" collapsed="false">
      <c r="A169" s="2" t="n">
        <v>46075</v>
      </c>
      <c r="B169" s="3" t="s">
        <v>317</v>
      </c>
      <c r="C169" s="3" t="s">
        <v>122</v>
      </c>
      <c r="D169" s="3" t="s">
        <v>123</v>
      </c>
      <c r="E169" s="3" t="s">
        <v>76</v>
      </c>
      <c r="F169" s="3" t="s">
        <v>124</v>
      </c>
      <c r="G169" s="3" t="s">
        <v>86</v>
      </c>
      <c r="H169" s="3" t="s">
        <v>87</v>
      </c>
      <c r="I169" s="3" t="s">
        <v>88</v>
      </c>
      <c r="J169" s="3" t="s">
        <v>89</v>
      </c>
      <c r="K169" s="3" t="s">
        <v>192</v>
      </c>
      <c r="L169" s="3" t="s">
        <v>193</v>
      </c>
      <c r="M169" s="3" t="s">
        <v>46</v>
      </c>
      <c r="N169" s="3" t="s">
        <v>194</v>
      </c>
      <c r="O169" s="4" t="n">
        <v>464</v>
      </c>
      <c r="P169" s="3" t="s">
        <v>48</v>
      </c>
      <c r="Q169" s="5" t="n">
        <v>168000</v>
      </c>
      <c r="R169" s="6" t="n">
        <v>0.1</v>
      </c>
      <c r="S169" s="5" t="n">
        <f aca="false">O169*Q169</f>
        <v>77952000</v>
      </c>
      <c r="T169" s="5" t="n">
        <f aca="false">S169*R169</f>
        <v>7795200</v>
      </c>
      <c r="U169" s="5" t="n">
        <f aca="false">S169-T169</f>
        <v>70156800</v>
      </c>
      <c r="V169" s="3" t="s">
        <v>81</v>
      </c>
    </row>
    <row r="170" customFormat="false" ht="15" hidden="false" customHeight="false" outlineLevel="0" collapsed="false">
      <c r="A170" s="2" t="n">
        <v>46075</v>
      </c>
      <c r="B170" s="3" t="s">
        <v>318</v>
      </c>
      <c r="C170" s="3" t="s">
        <v>37</v>
      </c>
      <c r="D170" s="3" t="s">
        <v>38</v>
      </c>
      <c r="E170" s="3" t="s">
        <v>39</v>
      </c>
      <c r="F170" s="3" t="s">
        <v>40</v>
      </c>
      <c r="G170" s="3" t="s">
        <v>39</v>
      </c>
      <c r="H170" s="3" t="s">
        <v>68</v>
      </c>
      <c r="I170" s="3" t="s">
        <v>69</v>
      </c>
      <c r="J170" s="3" t="s">
        <v>70</v>
      </c>
      <c r="K170" s="3" t="s">
        <v>119</v>
      </c>
      <c r="L170" s="3" t="s">
        <v>120</v>
      </c>
      <c r="M170" s="3" t="s">
        <v>33</v>
      </c>
      <c r="N170" s="3" t="s">
        <v>33</v>
      </c>
      <c r="O170" s="4" t="n">
        <v>125</v>
      </c>
      <c r="P170" s="3" t="s">
        <v>34</v>
      </c>
      <c r="Q170" s="5" t="n">
        <v>18900</v>
      </c>
      <c r="R170" s="6" t="n">
        <v>0.02</v>
      </c>
      <c r="S170" s="5" t="n">
        <f aca="false">O170*Q170</f>
        <v>2362500</v>
      </c>
      <c r="T170" s="5" t="n">
        <f aca="false">S170*R170</f>
        <v>47250</v>
      </c>
      <c r="U170" s="5" t="n">
        <f aca="false">S170-T170</f>
        <v>2315250</v>
      </c>
      <c r="V170" s="3" t="s">
        <v>39</v>
      </c>
    </row>
    <row r="171" customFormat="false" ht="15" hidden="false" customHeight="false" outlineLevel="0" collapsed="false">
      <c r="A171" s="2" t="n">
        <v>46076</v>
      </c>
      <c r="B171" s="3" t="s">
        <v>319</v>
      </c>
      <c r="C171" s="3" t="s">
        <v>101</v>
      </c>
      <c r="D171" s="3" t="s">
        <v>102</v>
      </c>
      <c r="E171" s="3" t="s">
        <v>25</v>
      </c>
      <c r="F171" s="3" t="s">
        <v>40</v>
      </c>
      <c r="G171" s="3" t="s">
        <v>27</v>
      </c>
      <c r="H171" s="3" t="s">
        <v>28</v>
      </c>
      <c r="I171" s="3" t="s">
        <v>29</v>
      </c>
      <c r="J171" s="3" t="s">
        <v>30</v>
      </c>
      <c r="K171" s="3" t="s">
        <v>64</v>
      </c>
      <c r="L171" s="3" t="s">
        <v>65</v>
      </c>
      <c r="M171" s="3" t="s">
        <v>33</v>
      </c>
      <c r="N171" s="3" t="s">
        <v>33</v>
      </c>
      <c r="O171" s="4" t="n">
        <v>156</v>
      </c>
      <c r="P171" s="3" t="s">
        <v>66</v>
      </c>
      <c r="Q171" s="5" t="n">
        <v>28500</v>
      </c>
      <c r="R171" s="6" t="n">
        <v>0.08</v>
      </c>
      <c r="S171" s="5" t="n">
        <f aca="false">O171*Q171</f>
        <v>4446000</v>
      </c>
      <c r="T171" s="5" t="n">
        <f aca="false">S171*R171</f>
        <v>355680</v>
      </c>
      <c r="U171" s="5" t="n">
        <f aca="false">S171-T171</f>
        <v>4090320</v>
      </c>
      <c r="V171" s="3" t="s">
        <v>35</v>
      </c>
    </row>
    <row r="172" customFormat="false" ht="15" hidden="false" customHeight="false" outlineLevel="0" collapsed="false">
      <c r="A172" s="2" t="n">
        <v>46076</v>
      </c>
      <c r="B172" s="3" t="s">
        <v>320</v>
      </c>
      <c r="C172" s="3" t="s">
        <v>137</v>
      </c>
      <c r="D172" s="3" t="s">
        <v>138</v>
      </c>
      <c r="E172" s="3" t="s">
        <v>76</v>
      </c>
      <c r="F172" s="3" t="s">
        <v>40</v>
      </c>
      <c r="G172" s="3" t="s">
        <v>77</v>
      </c>
      <c r="H172" s="3" t="s">
        <v>78</v>
      </c>
      <c r="I172" s="3" t="s">
        <v>79</v>
      </c>
      <c r="J172" s="3" t="s">
        <v>80</v>
      </c>
      <c r="K172" s="3" t="s">
        <v>119</v>
      </c>
      <c r="L172" s="3" t="s">
        <v>120</v>
      </c>
      <c r="M172" s="3" t="s">
        <v>33</v>
      </c>
      <c r="N172" s="3" t="s">
        <v>33</v>
      </c>
      <c r="O172" s="4" t="n">
        <v>86</v>
      </c>
      <c r="P172" s="3" t="s">
        <v>34</v>
      </c>
      <c r="Q172" s="5" t="n">
        <v>18900</v>
      </c>
      <c r="R172" s="6" t="n">
        <v>0</v>
      </c>
      <c r="S172" s="5" t="n">
        <f aca="false">O172*Q172</f>
        <v>1625400</v>
      </c>
      <c r="T172" s="5" t="n">
        <f aca="false">S172*R172</f>
        <v>0</v>
      </c>
      <c r="U172" s="5" t="n">
        <f aca="false">S172-T172</f>
        <v>1625400</v>
      </c>
      <c r="V172" s="3" t="s">
        <v>81</v>
      </c>
    </row>
    <row r="173" customFormat="false" ht="15" hidden="false" customHeight="false" outlineLevel="0" collapsed="false">
      <c r="A173" s="2" t="n">
        <v>46076</v>
      </c>
      <c r="B173" s="3" t="s">
        <v>321</v>
      </c>
      <c r="C173" s="3" t="s">
        <v>156</v>
      </c>
      <c r="D173" s="3" t="s">
        <v>157</v>
      </c>
      <c r="E173" s="3" t="s">
        <v>76</v>
      </c>
      <c r="F173" s="3" t="s">
        <v>40</v>
      </c>
      <c r="G173" s="3" t="s">
        <v>77</v>
      </c>
      <c r="H173" s="3" t="s">
        <v>78</v>
      </c>
      <c r="I173" s="3" t="s">
        <v>79</v>
      </c>
      <c r="J173" s="3" t="s">
        <v>80</v>
      </c>
      <c r="K173" s="3" t="s">
        <v>56</v>
      </c>
      <c r="L173" s="3" t="s">
        <v>57</v>
      </c>
      <c r="M173" s="3" t="s">
        <v>58</v>
      </c>
      <c r="N173" s="3" t="s">
        <v>59</v>
      </c>
      <c r="O173" s="4" t="n">
        <v>445</v>
      </c>
      <c r="P173" s="3" t="s">
        <v>48</v>
      </c>
      <c r="Q173" s="5" t="n">
        <v>52800</v>
      </c>
      <c r="R173" s="6" t="n">
        <v>0.05</v>
      </c>
      <c r="S173" s="5" t="n">
        <f aca="false">O173*Q173</f>
        <v>23496000</v>
      </c>
      <c r="T173" s="5" t="n">
        <f aca="false">S173*R173</f>
        <v>1174800</v>
      </c>
      <c r="U173" s="5" t="n">
        <f aca="false">S173-T173</f>
        <v>22321200</v>
      </c>
      <c r="V173" s="3" t="s">
        <v>81</v>
      </c>
    </row>
    <row r="174" customFormat="false" ht="15" hidden="false" customHeight="false" outlineLevel="0" collapsed="false">
      <c r="A174" s="2" t="n">
        <v>46076</v>
      </c>
      <c r="B174" s="3" t="s">
        <v>322</v>
      </c>
      <c r="C174" s="3" t="s">
        <v>230</v>
      </c>
      <c r="D174" s="3" t="s">
        <v>231</v>
      </c>
      <c r="E174" s="3" t="s">
        <v>76</v>
      </c>
      <c r="F174" s="3" t="s">
        <v>232</v>
      </c>
      <c r="G174" s="3" t="s">
        <v>86</v>
      </c>
      <c r="H174" s="3" t="s">
        <v>87</v>
      </c>
      <c r="I174" s="3" t="s">
        <v>88</v>
      </c>
      <c r="J174" s="3" t="s">
        <v>89</v>
      </c>
      <c r="K174" s="3" t="s">
        <v>144</v>
      </c>
      <c r="L174" s="3" t="s">
        <v>145</v>
      </c>
      <c r="M174" s="3" t="s">
        <v>146</v>
      </c>
      <c r="N174" s="3" t="s">
        <v>111</v>
      </c>
      <c r="O174" s="4" t="n">
        <v>474</v>
      </c>
      <c r="P174" s="3" t="s">
        <v>48</v>
      </c>
      <c r="Q174" s="5" t="n">
        <v>89000</v>
      </c>
      <c r="R174" s="6" t="n">
        <v>0.05</v>
      </c>
      <c r="S174" s="5" t="n">
        <f aca="false">O174*Q174</f>
        <v>42186000</v>
      </c>
      <c r="T174" s="5" t="n">
        <f aca="false">S174*R174</f>
        <v>2109300</v>
      </c>
      <c r="U174" s="5" t="n">
        <f aca="false">S174-T174</f>
        <v>40076700</v>
      </c>
      <c r="V174" s="3" t="s">
        <v>81</v>
      </c>
    </row>
    <row r="175" customFormat="false" ht="15" hidden="false" customHeight="false" outlineLevel="0" collapsed="false">
      <c r="A175" s="2" t="n">
        <v>46076</v>
      </c>
      <c r="B175" s="3" t="s">
        <v>323</v>
      </c>
      <c r="C175" s="3" t="s">
        <v>151</v>
      </c>
      <c r="D175" s="3" t="s">
        <v>152</v>
      </c>
      <c r="E175" s="3" t="s">
        <v>76</v>
      </c>
      <c r="F175" s="3" t="s">
        <v>153</v>
      </c>
      <c r="G175" s="3" t="s">
        <v>86</v>
      </c>
      <c r="H175" s="3" t="s">
        <v>87</v>
      </c>
      <c r="I175" s="3" t="s">
        <v>88</v>
      </c>
      <c r="J175" s="3" t="s">
        <v>89</v>
      </c>
      <c r="K175" s="3" t="s">
        <v>192</v>
      </c>
      <c r="L175" s="3" t="s">
        <v>193</v>
      </c>
      <c r="M175" s="3" t="s">
        <v>46</v>
      </c>
      <c r="N175" s="3" t="s">
        <v>194</v>
      </c>
      <c r="O175" s="4" t="n">
        <v>651</v>
      </c>
      <c r="P175" s="3" t="s">
        <v>48</v>
      </c>
      <c r="Q175" s="5" t="n">
        <v>168000</v>
      </c>
      <c r="R175" s="6" t="n">
        <v>0.08</v>
      </c>
      <c r="S175" s="5" t="n">
        <f aca="false">O175*Q175</f>
        <v>109368000</v>
      </c>
      <c r="T175" s="5" t="n">
        <f aca="false">S175*R175</f>
        <v>8749440</v>
      </c>
      <c r="U175" s="5" t="n">
        <f aca="false">S175-T175</f>
        <v>100618560</v>
      </c>
      <c r="V175" s="3" t="s">
        <v>81</v>
      </c>
    </row>
    <row r="176" customFormat="false" ht="15" hidden="false" customHeight="false" outlineLevel="0" collapsed="false">
      <c r="A176" s="2" t="n">
        <v>46076</v>
      </c>
      <c r="B176" s="3" t="s">
        <v>324</v>
      </c>
      <c r="C176" s="3" t="s">
        <v>94</v>
      </c>
      <c r="D176" s="3" t="s">
        <v>95</v>
      </c>
      <c r="E176" s="3" t="s">
        <v>76</v>
      </c>
      <c r="F176" s="3" t="s">
        <v>96</v>
      </c>
      <c r="G176" s="3" t="s">
        <v>97</v>
      </c>
      <c r="H176" s="3" t="s">
        <v>41</v>
      </c>
      <c r="I176" s="3" t="s">
        <v>42</v>
      </c>
      <c r="J176" s="3" t="s">
        <v>43</v>
      </c>
      <c r="K176" s="3" t="s">
        <v>56</v>
      </c>
      <c r="L176" s="3" t="s">
        <v>57</v>
      </c>
      <c r="M176" s="3" t="s">
        <v>58</v>
      </c>
      <c r="N176" s="3" t="s">
        <v>59</v>
      </c>
      <c r="O176" s="4" t="n">
        <v>644</v>
      </c>
      <c r="P176" s="3" t="s">
        <v>48</v>
      </c>
      <c r="Q176" s="5" t="n">
        <v>52800</v>
      </c>
      <c r="R176" s="6" t="n">
        <v>0.08</v>
      </c>
      <c r="S176" s="5" t="n">
        <f aca="false">O176*Q176</f>
        <v>34003200</v>
      </c>
      <c r="T176" s="5" t="n">
        <f aca="false">S176*R176</f>
        <v>2720256</v>
      </c>
      <c r="U176" s="5" t="n">
        <f aca="false">S176-T176</f>
        <v>31282944</v>
      </c>
      <c r="V176" s="3" t="s">
        <v>81</v>
      </c>
    </row>
    <row r="177" customFormat="false" ht="15" hidden="false" customHeight="false" outlineLevel="0" collapsed="false">
      <c r="A177" s="2" t="n">
        <v>46076</v>
      </c>
      <c r="B177" s="3" t="s">
        <v>325</v>
      </c>
      <c r="C177" s="3" t="s">
        <v>74</v>
      </c>
      <c r="D177" s="3" t="s">
        <v>75</v>
      </c>
      <c r="E177" s="3" t="s">
        <v>76</v>
      </c>
      <c r="F177" s="3" t="s">
        <v>26</v>
      </c>
      <c r="G177" s="3" t="s">
        <v>77</v>
      </c>
      <c r="H177" s="3" t="s">
        <v>78</v>
      </c>
      <c r="I177" s="3" t="s">
        <v>79</v>
      </c>
      <c r="J177" s="3" t="s">
        <v>80</v>
      </c>
      <c r="K177" s="3" t="s">
        <v>90</v>
      </c>
      <c r="L177" s="3" t="s">
        <v>91</v>
      </c>
      <c r="M177" s="3" t="s">
        <v>92</v>
      </c>
      <c r="N177" s="3" t="s">
        <v>59</v>
      </c>
      <c r="O177" s="4" t="n">
        <v>413</v>
      </c>
      <c r="P177" s="3" t="s">
        <v>48</v>
      </c>
      <c r="Q177" s="5" t="n">
        <v>96500</v>
      </c>
      <c r="R177" s="6" t="n">
        <v>0.05</v>
      </c>
      <c r="S177" s="5" t="n">
        <f aca="false">O177*Q177</f>
        <v>39854500</v>
      </c>
      <c r="T177" s="5" t="n">
        <f aca="false">S177*R177</f>
        <v>1992725</v>
      </c>
      <c r="U177" s="5" t="n">
        <f aca="false">S177-T177</f>
        <v>37861775</v>
      </c>
      <c r="V177" s="3" t="s">
        <v>81</v>
      </c>
    </row>
    <row r="178" customFormat="false" ht="15" hidden="false" customHeight="false" outlineLevel="0" collapsed="false">
      <c r="A178" s="2" t="n">
        <v>46076</v>
      </c>
      <c r="B178" s="3" t="s">
        <v>326</v>
      </c>
      <c r="C178" s="3" t="s">
        <v>101</v>
      </c>
      <c r="D178" s="3" t="s">
        <v>102</v>
      </c>
      <c r="E178" s="3" t="s">
        <v>25</v>
      </c>
      <c r="F178" s="3" t="s">
        <v>40</v>
      </c>
      <c r="G178" s="3" t="s">
        <v>27</v>
      </c>
      <c r="H178" s="3" t="s">
        <v>53</v>
      </c>
      <c r="I178" s="3" t="s">
        <v>54</v>
      </c>
      <c r="J178" s="3" t="s">
        <v>55</v>
      </c>
      <c r="K178" s="3" t="s">
        <v>119</v>
      </c>
      <c r="L178" s="3" t="s">
        <v>120</v>
      </c>
      <c r="M178" s="3" t="s">
        <v>33</v>
      </c>
      <c r="N178" s="3" t="s">
        <v>33</v>
      </c>
      <c r="O178" s="4" t="n">
        <v>162</v>
      </c>
      <c r="P178" s="3" t="s">
        <v>34</v>
      </c>
      <c r="Q178" s="5" t="n">
        <v>18900</v>
      </c>
      <c r="R178" s="6" t="n">
        <v>0.1</v>
      </c>
      <c r="S178" s="5" t="n">
        <f aca="false">O178*Q178</f>
        <v>3061800</v>
      </c>
      <c r="T178" s="5" t="n">
        <f aca="false">S178*R178</f>
        <v>306180</v>
      </c>
      <c r="U178" s="5" t="n">
        <f aca="false">S178-T178</f>
        <v>2755620</v>
      </c>
      <c r="V178" s="3" t="s">
        <v>35</v>
      </c>
    </row>
    <row r="179" customFormat="false" ht="15" hidden="false" customHeight="false" outlineLevel="0" collapsed="false">
      <c r="A179" s="2" t="n">
        <v>46076</v>
      </c>
      <c r="B179" s="3" t="s">
        <v>327</v>
      </c>
      <c r="C179" s="3" t="s">
        <v>188</v>
      </c>
      <c r="D179" s="3" t="s">
        <v>189</v>
      </c>
      <c r="E179" s="3" t="s">
        <v>76</v>
      </c>
      <c r="F179" s="3" t="s">
        <v>85</v>
      </c>
      <c r="G179" s="3" t="s">
        <v>77</v>
      </c>
      <c r="H179" s="3" t="s">
        <v>78</v>
      </c>
      <c r="I179" s="3" t="s">
        <v>79</v>
      </c>
      <c r="J179" s="3" t="s">
        <v>80</v>
      </c>
      <c r="K179" s="3" t="s">
        <v>192</v>
      </c>
      <c r="L179" s="3" t="s">
        <v>193</v>
      </c>
      <c r="M179" s="3" t="s">
        <v>46</v>
      </c>
      <c r="N179" s="3" t="s">
        <v>194</v>
      </c>
      <c r="O179" s="4" t="n">
        <v>266</v>
      </c>
      <c r="P179" s="3" t="s">
        <v>48</v>
      </c>
      <c r="Q179" s="5" t="n">
        <v>168000</v>
      </c>
      <c r="R179" s="6" t="n">
        <v>0.02</v>
      </c>
      <c r="S179" s="5" t="n">
        <f aca="false">O179*Q179</f>
        <v>44688000</v>
      </c>
      <c r="T179" s="5" t="n">
        <f aca="false">S179*R179</f>
        <v>893760</v>
      </c>
      <c r="U179" s="5" t="n">
        <f aca="false">S179-T179</f>
        <v>43794240</v>
      </c>
      <c r="V179" s="3" t="s">
        <v>81</v>
      </c>
    </row>
    <row r="180" customFormat="false" ht="15" hidden="false" customHeight="false" outlineLevel="0" collapsed="false">
      <c r="A180" s="2" t="n">
        <v>46077</v>
      </c>
      <c r="B180" s="3" t="s">
        <v>328</v>
      </c>
      <c r="C180" s="3" t="s">
        <v>141</v>
      </c>
      <c r="D180" s="3" t="s">
        <v>142</v>
      </c>
      <c r="E180" s="3" t="s">
        <v>25</v>
      </c>
      <c r="F180" s="3" t="s">
        <v>143</v>
      </c>
      <c r="G180" s="3" t="s">
        <v>27</v>
      </c>
      <c r="H180" s="3" t="s">
        <v>133</v>
      </c>
      <c r="I180" s="3" t="s">
        <v>134</v>
      </c>
      <c r="J180" s="3" t="s">
        <v>135</v>
      </c>
      <c r="K180" s="3" t="s">
        <v>119</v>
      </c>
      <c r="L180" s="3" t="s">
        <v>120</v>
      </c>
      <c r="M180" s="3" t="s">
        <v>33</v>
      </c>
      <c r="N180" s="3" t="s">
        <v>33</v>
      </c>
      <c r="O180" s="4" t="n">
        <v>79</v>
      </c>
      <c r="P180" s="3" t="s">
        <v>34</v>
      </c>
      <c r="Q180" s="5" t="n">
        <v>18900</v>
      </c>
      <c r="R180" s="6" t="n">
        <v>0.08</v>
      </c>
      <c r="S180" s="5" t="n">
        <f aca="false">O180*Q180</f>
        <v>1493100</v>
      </c>
      <c r="T180" s="5" t="n">
        <f aca="false">S180*R180</f>
        <v>119448</v>
      </c>
      <c r="U180" s="5" t="n">
        <f aca="false">S180-T180</f>
        <v>1373652</v>
      </c>
      <c r="V180" s="3" t="s">
        <v>35</v>
      </c>
    </row>
    <row r="181" customFormat="false" ht="15" hidden="false" customHeight="false" outlineLevel="0" collapsed="false">
      <c r="A181" s="2" t="n">
        <v>46077</v>
      </c>
      <c r="B181" s="3" t="s">
        <v>329</v>
      </c>
      <c r="C181" s="3" t="s">
        <v>137</v>
      </c>
      <c r="D181" s="3" t="s">
        <v>138</v>
      </c>
      <c r="E181" s="3" t="s">
        <v>76</v>
      </c>
      <c r="F181" s="3" t="s">
        <v>40</v>
      </c>
      <c r="G181" s="3" t="s">
        <v>77</v>
      </c>
      <c r="H181" s="3" t="s">
        <v>78</v>
      </c>
      <c r="I181" s="3" t="s">
        <v>79</v>
      </c>
      <c r="J181" s="3" t="s">
        <v>80</v>
      </c>
      <c r="K181" s="3" t="s">
        <v>56</v>
      </c>
      <c r="L181" s="3" t="s">
        <v>57</v>
      </c>
      <c r="M181" s="3" t="s">
        <v>58</v>
      </c>
      <c r="N181" s="3" t="s">
        <v>59</v>
      </c>
      <c r="O181" s="4" t="n">
        <v>368</v>
      </c>
      <c r="P181" s="3" t="s">
        <v>48</v>
      </c>
      <c r="Q181" s="5" t="n">
        <v>52800</v>
      </c>
      <c r="R181" s="6" t="n">
        <v>0.08</v>
      </c>
      <c r="S181" s="5" t="n">
        <f aca="false">O181*Q181</f>
        <v>19430400</v>
      </c>
      <c r="T181" s="5" t="n">
        <f aca="false">S181*R181</f>
        <v>1554432</v>
      </c>
      <c r="U181" s="5" t="n">
        <f aca="false">S181-T181</f>
        <v>17875968</v>
      </c>
      <c r="V181" s="3" t="s">
        <v>81</v>
      </c>
    </row>
    <row r="182" customFormat="false" ht="15" hidden="false" customHeight="false" outlineLevel="0" collapsed="false">
      <c r="A182" s="2" t="n">
        <v>46077</v>
      </c>
      <c r="B182" s="3" t="s">
        <v>330</v>
      </c>
      <c r="C182" s="3" t="s">
        <v>113</v>
      </c>
      <c r="D182" s="3" t="s">
        <v>114</v>
      </c>
      <c r="E182" s="3" t="s">
        <v>25</v>
      </c>
      <c r="F182" s="3" t="s">
        <v>85</v>
      </c>
      <c r="G182" s="3" t="s">
        <v>27</v>
      </c>
      <c r="H182" s="3" t="s">
        <v>53</v>
      </c>
      <c r="I182" s="3" t="s">
        <v>54</v>
      </c>
      <c r="J182" s="3" t="s">
        <v>55</v>
      </c>
      <c r="K182" s="3" t="s">
        <v>192</v>
      </c>
      <c r="L182" s="3" t="s">
        <v>193</v>
      </c>
      <c r="M182" s="3" t="s">
        <v>46</v>
      </c>
      <c r="N182" s="3" t="s">
        <v>194</v>
      </c>
      <c r="O182" s="4" t="n">
        <v>113</v>
      </c>
      <c r="P182" s="3" t="s">
        <v>48</v>
      </c>
      <c r="Q182" s="5" t="n">
        <v>168000</v>
      </c>
      <c r="R182" s="6" t="n">
        <v>0.1</v>
      </c>
      <c r="S182" s="5" t="n">
        <f aca="false">O182*Q182</f>
        <v>18984000</v>
      </c>
      <c r="T182" s="5" t="n">
        <f aca="false">S182*R182</f>
        <v>1898400</v>
      </c>
      <c r="U182" s="5" t="n">
        <f aca="false">S182-T182</f>
        <v>17085600</v>
      </c>
      <c r="V182" s="3" t="s">
        <v>35</v>
      </c>
    </row>
    <row r="183" customFormat="false" ht="15" hidden="false" customHeight="false" outlineLevel="0" collapsed="false">
      <c r="A183" s="2" t="n">
        <v>46077</v>
      </c>
      <c r="B183" s="3" t="s">
        <v>331</v>
      </c>
      <c r="C183" s="3" t="s">
        <v>156</v>
      </c>
      <c r="D183" s="3" t="s">
        <v>157</v>
      </c>
      <c r="E183" s="3" t="s">
        <v>76</v>
      </c>
      <c r="F183" s="3" t="s">
        <v>40</v>
      </c>
      <c r="G183" s="3" t="s">
        <v>77</v>
      </c>
      <c r="H183" s="3" t="s">
        <v>78</v>
      </c>
      <c r="I183" s="3" t="s">
        <v>79</v>
      </c>
      <c r="J183" s="3" t="s">
        <v>80</v>
      </c>
      <c r="K183" s="3" t="s">
        <v>71</v>
      </c>
      <c r="L183" s="3" t="s">
        <v>72</v>
      </c>
      <c r="M183" s="3" t="s">
        <v>46</v>
      </c>
      <c r="N183" s="3" t="s">
        <v>47</v>
      </c>
      <c r="O183" s="4" t="n">
        <v>406</v>
      </c>
      <c r="P183" s="3" t="s">
        <v>48</v>
      </c>
      <c r="Q183" s="5" t="n">
        <v>156000</v>
      </c>
      <c r="R183" s="6" t="n">
        <v>0.05</v>
      </c>
      <c r="S183" s="5" t="n">
        <f aca="false">O183*Q183</f>
        <v>63336000</v>
      </c>
      <c r="T183" s="5" t="n">
        <f aca="false">S183*R183</f>
        <v>3166800</v>
      </c>
      <c r="U183" s="5" t="n">
        <f aca="false">S183-T183</f>
        <v>60169200</v>
      </c>
      <c r="V183" s="3" t="s">
        <v>81</v>
      </c>
    </row>
    <row r="184" customFormat="false" ht="15" hidden="false" customHeight="false" outlineLevel="0" collapsed="false">
      <c r="A184" s="2" t="n">
        <v>46078</v>
      </c>
      <c r="B184" s="3" t="s">
        <v>332</v>
      </c>
      <c r="C184" s="3" t="s">
        <v>173</v>
      </c>
      <c r="D184" s="3" t="s">
        <v>174</v>
      </c>
      <c r="E184" s="3" t="s">
        <v>76</v>
      </c>
      <c r="F184" s="3" t="s">
        <v>40</v>
      </c>
      <c r="G184" s="3" t="s">
        <v>97</v>
      </c>
      <c r="H184" s="3" t="s">
        <v>41</v>
      </c>
      <c r="I184" s="3" t="s">
        <v>42</v>
      </c>
      <c r="J184" s="3" t="s">
        <v>43</v>
      </c>
      <c r="K184" s="3" t="s">
        <v>64</v>
      </c>
      <c r="L184" s="3" t="s">
        <v>65</v>
      </c>
      <c r="M184" s="3" t="s">
        <v>33</v>
      </c>
      <c r="N184" s="3" t="s">
        <v>33</v>
      </c>
      <c r="O184" s="4" t="n">
        <v>183</v>
      </c>
      <c r="P184" s="3" t="s">
        <v>66</v>
      </c>
      <c r="Q184" s="5" t="n">
        <v>28500</v>
      </c>
      <c r="R184" s="6" t="n">
        <v>0.02</v>
      </c>
      <c r="S184" s="5" t="n">
        <f aca="false">O184*Q184</f>
        <v>5215500</v>
      </c>
      <c r="T184" s="5" t="n">
        <f aca="false">S184*R184</f>
        <v>104310</v>
      </c>
      <c r="U184" s="5" t="n">
        <f aca="false">S184-T184</f>
        <v>5111190</v>
      </c>
      <c r="V184" s="3" t="s">
        <v>81</v>
      </c>
    </row>
    <row r="185" customFormat="false" ht="15" hidden="false" customHeight="false" outlineLevel="0" collapsed="false">
      <c r="A185" s="2" t="n">
        <v>46078</v>
      </c>
      <c r="B185" s="3" t="s">
        <v>333</v>
      </c>
      <c r="C185" s="3" t="s">
        <v>50</v>
      </c>
      <c r="D185" s="3" t="s">
        <v>51</v>
      </c>
      <c r="E185" s="3" t="s">
        <v>25</v>
      </c>
      <c r="F185" s="3" t="s">
        <v>52</v>
      </c>
      <c r="G185" s="3" t="s">
        <v>27</v>
      </c>
      <c r="H185" s="3" t="s">
        <v>28</v>
      </c>
      <c r="I185" s="3" t="s">
        <v>29</v>
      </c>
      <c r="J185" s="3" t="s">
        <v>30</v>
      </c>
      <c r="K185" s="3" t="s">
        <v>115</v>
      </c>
      <c r="L185" s="3" t="s">
        <v>116</v>
      </c>
      <c r="M185" s="3" t="s">
        <v>92</v>
      </c>
      <c r="N185" s="3" t="s">
        <v>117</v>
      </c>
      <c r="O185" s="4" t="n">
        <v>109</v>
      </c>
      <c r="P185" s="3" t="s">
        <v>48</v>
      </c>
      <c r="Q185" s="5" t="n">
        <v>42300</v>
      </c>
      <c r="R185" s="6" t="n">
        <v>0.12</v>
      </c>
      <c r="S185" s="5" t="n">
        <f aca="false">O185*Q185</f>
        <v>4610700</v>
      </c>
      <c r="T185" s="5" t="n">
        <f aca="false">S185*R185</f>
        <v>553284</v>
      </c>
      <c r="U185" s="5" t="n">
        <f aca="false">S185-T185</f>
        <v>4057416</v>
      </c>
      <c r="V185" s="3" t="s">
        <v>35</v>
      </c>
    </row>
    <row r="186" customFormat="false" ht="15" hidden="false" customHeight="false" outlineLevel="0" collapsed="false">
      <c r="A186" s="2" t="n">
        <v>46078</v>
      </c>
      <c r="B186" s="3" t="s">
        <v>334</v>
      </c>
      <c r="C186" s="3" t="s">
        <v>101</v>
      </c>
      <c r="D186" s="3" t="s">
        <v>102</v>
      </c>
      <c r="E186" s="3" t="s">
        <v>25</v>
      </c>
      <c r="F186" s="3" t="s">
        <v>40</v>
      </c>
      <c r="G186" s="3" t="s">
        <v>27</v>
      </c>
      <c r="H186" s="3" t="s">
        <v>133</v>
      </c>
      <c r="I186" s="3" t="s">
        <v>134</v>
      </c>
      <c r="J186" s="3" t="s">
        <v>135</v>
      </c>
      <c r="K186" s="3" t="s">
        <v>148</v>
      </c>
      <c r="L186" s="3" t="s">
        <v>149</v>
      </c>
      <c r="M186" s="3" t="s">
        <v>130</v>
      </c>
      <c r="N186" s="3" t="s">
        <v>131</v>
      </c>
      <c r="O186" s="4" t="n">
        <v>162</v>
      </c>
      <c r="P186" s="3" t="s">
        <v>48</v>
      </c>
      <c r="Q186" s="5" t="n">
        <v>78900</v>
      </c>
      <c r="R186" s="6" t="n">
        <v>0.1</v>
      </c>
      <c r="S186" s="5" t="n">
        <f aca="false">O186*Q186</f>
        <v>12781800</v>
      </c>
      <c r="T186" s="5" t="n">
        <f aca="false">S186*R186</f>
        <v>1278180</v>
      </c>
      <c r="U186" s="5" t="n">
        <f aca="false">S186-T186</f>
        <v>11503620</v>
      </c>
      <c r="V186" s="3" t="s">
        <v>35</v>
      </c>
    </row>
    <row r="187" customFormat="false" ht="15" hidden="false" customHeight="false" outlineLevel="0" collapsed="false">
      <c r="A187" s="2" t="n">
        <v>46078</v>
      </c>
      <c r="B187" s="3" t="s">
        <v>335</v>
      </c>
      <c r="C187" s="3" t="s">
        <v>94</v>
      </c>
      <c r="D187" s="3" t="s">
        <v>95</v>
      </c>
      <c r="E187" s="3" t="s">
        <v>76</v>
      </c>
      <c r="F187" s="3" t="s">
        <v>96</v>
      </c>
      <c r="G187" s="3" t="s">
        <v>97</v>
      </c>
      <c r="H187" s="3" t="s">
        <v>68</v>
      </c>
      <c r="I187" s="3" t="s">
        <v>69</v>
      </c>
      <c r="J187" s="3" t="s">
        <v>70</v>
      </c>
      <c r="K187" s="3" t="s">
        <v>56</v>
      </c>
      <c r="L187" s="3" t="s">
        <v>57</v>
      </c>
      <c r="M187" s="3" t="s">
        <v>58</v>
      </c>
      <c r="N187" s="3" t="s">
        <v>59</v>
      </c>
      <c r="O187" s="4" t="n">
        <v>105</v>
      </c>
      <c r="P187" s="3" t="s">
        <v>48</v>
      </c>
      <c r="Q187" s="5" t="n">
        <v>52800</v>
      </c>
      <c r="R187" s="6" t="n">
        <v>0.05</v>
      </c>
      <c r="S187" s="5" t="n">
        <f aca="false">O187*Q187</f>
        <v>5544000</v>
      </c>
      <c r="T187" s="5" t="n">
        <f aca="false">S187*R187</f>
        <v>277200</v>
      </c>
      <c r="U187" s="5" t="n">
        <f aca="false">S187-T187</f>
        <v>5266800</v>
      </c>
      <c r="V187" s="3" t="s">
        <v>81</v>
      </c>
    </row>
    <row r="188" customFormat="false" ht="15" hidden="false" customHeight="false" outlineLevel="0" collapsed="false">
      <c r="A188" s="2" t="n">
        <v>46078</v>
      </c>
      <c r="B188" s="3" t="s">
        <v>336</v>
      </c>
      <c r="C188" s="3" t="s">
        <v>165</v>
      </c>
      <c r="D188" s="3" t="s">
        <v>166</v>
      </c>
      <c r="E188" s="3" t="s">
        <v>76</v>
      </c>
      <c r="F188" s="3" t="s">
        <v>167</v>
      </c>
      <c r="G188" s="3" t="s">
        <v>86</v>
      </c>
      <c r="H188" s="3" t="s">
        <v>87</v>
      </c>
      <c r="I188" s="3" t="s">
        <v>88</v>
      </c>
      <c r="J188" s="3" t="s">
        <v>89</v>
      </c>
      <c r="K188" s="3" t="s">
        <v>64</v>
      </c>
      <c r="L188" s="3" t="s">
        <v>65</v>
      </c>
      <c r="M188" s="3" t="s">
        <v>33</v>
      </c>
      <c r="N188" s="3" t="s">
        <v>33</v>
      </c>
      <c r="O188" s="4" t="n">
        <v>87</v>
      </c>
      <c r="P188" s="3" t="s">
        <v>66</v>
      </c>
      <c r="Q188" s="5" t="n">
        <v>28500</v>
      </c>
      <c r="R188" s="6" t="n">
        <v>0.02</v>
      </c>
      <c r="S188" s="5" t="n">
        <f aca="false">O188*Q188</f>
        <v>2479500</v>
      </c>
      <c r="T188" s="5" t="n">
        <f aca="false">S188*R188</f>
        <v>49590</v>
      </c>
      <c r="U188" s="5" t="n">
        <f aca="false">S188-T188</f>
        <v>2429910</v>
      </c>
      <c r="V188" s="3" t="s">
        <v>81</v>
      </c>
    </row>
    <row r="189" customFormat="false" ht="15" hidden="false" customHeight="false" outlineLevel="0" collapsed="false">
      <c r="A189" s="2" t="n">
        <v>46078</v>
      </c>
      <c r="B189" s="3" t="s">
        <v>337</v>
      </c>
      <c r="C189" s="3" t="s">
        <v>50</v>
      </c>
      <c r="D189" s="3" t="s">
        <v>51</v>
      </c>
      <c r="E189" s="3" t="s">
        <v>25</v>
      </c>
      <c r="F189" s="3" t="s">
        <v>52</v>
      </c>
      <c r="G189" s="3" t="s">
        <v>27</v>
      </c>
      <c r="H189" s="3" t="s">
        <v>53</v>
      </c>
      <c r="I189" s="3" t="s">
        <v>54</v>
      </c>
      <c r="J189" s="3" t="s">
        <v>55</v>
      </c>
      <c r="K189" s="3" t="s">
        <v>56</v>
      </c>
      <c r="L189" s="3" t="s">
        <v>57</v>
      </c>
      <c r="M189" s="3" t="s">
        <v>58</v>
      </c>
      <c r="N189" s="3" t="s">
        <v>59</v>
      </c>
      <c r="O189" s="4" t="n">
        <v>99</v>
      </c>
      <c r="P189" s="3" t="s">
        <v>48</v>
      </c>
      <c r="Q189" s="5" t="n">
        <v>52800</v>
      </c>
      <c r="R189" s="6" t="n">
        <v>0.12</v>
      </c>
      <c r="S189" s="5" t="n">
        <f aca="false">O189*Q189</f>
        <v>5227200</v>
      </c>
      <c r="T189" s="5" t="n">
        <f aca="false">S189*R189</f>
        <v>627264</v>
      </c>
      <c r="U189" s="5" t="n">
        <f aca="false">S189-T189</f>
        <v>4599936</v>
      </c>
      <c r="V189" s="3" t="s">
        <v>35</v>
      </c>
    </row>
    <row r="190" customFormat="false" ht="15" hidden="false" customHeight="false" outlineLevel="0" collapsed="false">
      <c r="A190" s="2" t="n">
        <v>46079</v>
      </c>
      <c r="B190" s="3" t="s">
        <v>338</v>
      </c>
      <c r="C190" s="3" t="s">
        <v>101</v>
      </c>
      <c r="D190" s="3" t="s">
        <v>102</v>
      </c>
      <c r="E190" s="3" t="s">
        <v>25</v>
      </c>
      <c r="F190" s="3" t="s">
        <v>40</v>
      </c>
      <c r="G190" s="3" t="s">
        <v>27</v>
      </c>
      <c r="H190" s="3" t="s">
        <v>133</v>
      </c>
      <c r="I190" s="3" t="s">
        <v>134</v>
      </c>
      <c r="J190" s="3" t="s">
        <v>135</v>
      </c>
      <c r="K190" s="3" t="s">
        <v>144</v>
      </c>
      <c r="L190" s="3" t="s">
        <v>145</v>
      </c>
      <c r="M190" s="3" t="s">
        <v>146</v>
      </c>
      <c r="N190" s="3" t="s">
        <v>111</v>
      </c>
      <c r="O190" s="4" t="n">
        <v>188</v>
      </c>
      <c r="P190" s="3" t="s">
        <v>48</v>
      </c>
      <c r="Q190" s="5" t="n">
        <v>89000</v>
      </c>
      <c r="R190" s="6" t="n">
        <v>0.15</v>
      </c>
      <c r="S190" s="5" t="n">
        <f aca="false">O190*Q190</f>
        <v>16732000</v>
      </c>
      <c r="T190" s="5" t="n">
        <f aca="false">S190*R190</f>
        <v>2509800</v>
      </c>
      <c r="U190" s="5" t="n">
        <f aca="false">S190-T190</f>
        <v>14222200</v>
      </c>
      <c r="V190" s="3" t="s">
        <v>35</v>
      </c>
    </row>
    <row r="191" customFormat="false" ht="15" hidden="false" customHeight="false" outlineLevel="0" collapsed="false">
      <c r="A191" s="2" t="n">
        <v>46079</v>
      </c>
      <c r="B191" s="3" t="s">
        <v>339</v>
      </c>
      <c r="C191" s="3" t="s">
        <v>188</v>
      </c>
      <c r="D191" s="3" t="s">
        <v>189</v>
      </c>
      <c r="E191" s="3" t="s">
        <v>76</v>
      </c>
      <c r="F191" s="3" t="s">
        <v>85</v>
      </c>
      <c r="G191" s="3" t="s">
        <v>77</v>
      </c>
      <c r="H191" s="3" t="s">
        <v>78</v>
      </c>
      <c r="I191" s="3" t="s">
        <v>79</v>
      </c>
      <c r="J191" s="3" t="s">
        <v>80</v>
      </c>
      <c r="K191" s="3" t="s">
        <v>128</v>
      </c>
      <c r="L191" s="3" t="s">
        <v>129</v>
      </c>
      <c r="M191" s="3" t="s">
        <v>130</v>
      </c>
      <c r="N191" s="3" t="s">
        <v>131</v>
      </c>
      <c r="O191" s="4" t="n">
        <v>631</v>
      </c>
      <c r="P191" s="3" t="s">
        <v>48</v>
      </c>
      <c r="Q191" s="5" t="n">
        <v>84500</v>
      </c>
      <c r="R191" s="6" t="n">
        <v>0.1</v>
      </c>
      <c r="S191" s="5" t="n">
        <f aca="false">O191*Q191</f>
        <v>53319500</v>
      </c>
      <c r="T191" s="5" t="n">
        <f aca="false">S191*R191</f>
        <v>5331950</v>
      </c>
      <c r="U191" s="5" t="n">
        <f aca="false">S191-T191</f>
        <v>47987550</v>
      </c>
      <c r="V191" s="3" t="s">
        <v>81</v>
      </c>
    </row>
    <row r="192" customFormat="false" ht="15" hidden="false" customHeight="false" outlineLevel="0" collapsed="false">
      <c r="A192" s="2" t="n">
        <v>46079</v>
      </c>
      <c r="B192" s="3" t="s">
        <v>340</v>
      </c>
      <c r="C192" s="3" t="s">
        <v>83</v>
      </c>
      <c r="D192" s="3" t="s">
        <v>84</v>
      </c>
      <c r="E192" s="3" t="s">
        <v>76</v>
      </c>
      <c r="F192" s="3" t="s">
        <v>85</v>
      </c>
      <c r="G192" s="3" t="s">
        <v>86</v>
      </c>
      <c r="H192" s="3" t="s">
        <v>87</v>
      </c>
      <c r="I192" s="3" t="s">
        <v>88</v>
      </c>
      <c r="J192" s="3" t="s">
        <v>89</v>
      </c>
      <c r="K192" s="3" t="s">
        <v>90</v>
      </c>
      <c r="L192" s="3" t="s">
        <v>91</v>
      </c>
      <c r="M192" s="3" t="s">
        <v>92</v>
      </c>
      <c r="N192" s="3" t="s">
        <v>59</v>
      </c>
      <c r="O192" s="4" t="n">
        <v>612</v>
      </c>
      <c r="P192" s="3" t="s">
        <v>48</v>
      </c>
      <c r="Q192" s="5" t="n">
        <v>96500</v>
      </c>
      <c r="R192" s="6" t="n">
        <v>0.05</v>
      </c>
      <c r="S192" s="5" t="n">
        <f aca="false">O192*Q192</f>
        <v>59058000</v>
      </c>
      <c r="T192" s="5" t="n">
        <f aca="false">S192*R192</f>
        <v>2952900</v>
      </c>
      <c r="U192" s="5" t="n">
        <f aca="false">S192-T192</f>
        <v>56105100</v>
      </c>
      <c r="V192" s="3" t="s">
        <v>81</v>
      </c>
    </row>
    <row r="193" customFormat="false" ht="15" hidden="false" customHeight="false" outlineLevel="0" collapsed="false">
      <c r="A193" s="2" t="n">
        <v>46080</v>
      </c>
      <c r="B193" s="3" t="s">
        <v>341</v>
      </c>
      <c r="C193" s="3" t="s">
        <v>37</v>
      </c>
      <c r="D193" s="3" t="s">
        <v>38</v>
      </c>
      <c r="E193" s="3" t="s">
        <v>39</v>
      </c>
      <c r="F193" s="3" t="s">
        <v>40</v>
      </c>
      <c r="G193" s="3" t="s">
        <v>39</v>
      </c>
      <c r="H193" s="3" t="s">
        <v>41</v>
      </c>
      <c r="I193" s="3" t="s">
        <v>42</v>
      </c>
      <c r="J193" s="3" t="s">
        <v>43</v>
      </c>
      <c r="K193" s="3" t="s">
        <v>162</v>
      </c>
      <c r="L193" s="3" t="s">
        <v>163</v>
      </c>
      <c r="M193" s="3" t="s">
        <v>58</v>
      </c>
      <c r="N193" s="3" t="s">
        <v>59</v>
      </c>
      <c r="O193" s="4" t="n">
        <v>276</v>
      </c>
      <c r="P193" s="3" t="s">
        <v>48</v>
      </c>
      <c r="Q193" s="5" t="n">
        <v>48500</v>
      </c>
      <c r="R193" s="6" t="n">
        <v>0.03</v>
      </c>
      <c r="S193" s="5" t="n">
        <f aca="false">O193*Q193</f>
        <v>13386000</v>
      </c>
      <c r="T193" s="5" t="n">
        <f aca="false">S193*R193</f>
        <v>401580</v>
      </c>
      <c r="U193" s="5" t="n">
        <f aca="false">S193-T193</f>
        <v>12984420</v>
      </c>
      <c r="V193" s="3" t="s">
        <v>39</v>
      </c>
    </row>
    <row r="194" customFormat="false" ht="15" hidden="false" customHeight="false" outlineLevel="0" collapsed="false">
      <c r="A194" s="2" t="n">
        <v>46080</v>
      </c>
      <c r="B194" s="3" t="s">
        <v>342</v>
      </c>
      <c r="C194" s="3" t="s">
        <v>122</v>
      </c>
      <c r="D194" s="3" t="s">
        <v>123</v>
      </c>
      <c r="E194" s="3" t="s">
        <v>76</v>
      </c>
      <c r="F194" s="3" t="s">
        <v>124</v>
      </c>
      <c r="G194" s="3" t="s">
        <v>86</v>
      </c>
      <c r="H194" s="3" t="s">
        <v>87</v>
      </c>
      <c r="I194" s="3" t="s">
        <v>88</v>
      </c>
      <c r="J194" s="3" t="s">
        <v>89</v>
      </c>
      <c r="K194" s="3" t="s">
        <v>64</v>
      </c>
      <c r="L194" s="3" t="s">
        <v>65</v>
      </c>
      <c r="M194" s="3" t="s">
        <v>33</v>
      </c>
      <c r="N194" s="3" t="s">
        <v>33</v>
      </c>
      <c r="O194" s="4" t="n">
        <v>136</v>
      </c>
      <c r="P194" s="3" t="s">
        <v>66</v>
      </c>
      <c r="Q194" s="5" t="n">
        <v>28500</v>
      </c>
      <c r="R194" s="6" t="n">
        <v>0.03</v>
      </c>
      <c r="S194" s="5" t="n">
        <f aca="false">O194*Q194</f>
        <v>3876000</v>
      </c>
      <c r="T194" s="5" t="n">
        <f aca="false">S194*R194</f>
        <v>116280</v>
      </c>
      <c r="U194" s="5" t="n">
        <f aca="false">S194-T194</f>
        <v>3759720</v>
      </c>
      <c r="V194" s="3" t="s">
        <v>81</v>
      </c>
    </row>
    <row r="195" customFormat="false" ht="15" hidden="false" customHeight="false" outlineLevel="0" collapsed="false">
      <c r="A195" s="2" t="n">
        <v>46080</v>
      </c>
      <c r="B195" s="3" t="s">
        <v>343</v>
      </c>
      <c r="C195" s="3" t="s">
        <v>101</v>
      </c>
      <c r="D195" s="3" t="s">
        <v>102</v>
      </c>
      <c r="E195" s="3" t="s">
        <v>25</v>
      </c>
      <c r="F195" s="3" t="s">
        <v>40</v>
      </c>
      <c r="G195" s="3" t="s">
        <v>27</v>
      </c>
      <c r="H195" s="3" t="s">
        <v>53</v>
      </c>
      <c r="I195" s="3" t="s">
        <v>54</v>
      </c>
      <c r="J195" s="3" t="s">
        <v>55</v>
      </c>
      <c r="K195" s="3" t="s">
        <v>56</v>
      </c>
      <c r="L195" s="3" t="s">
        <v>57</v>
      </c>
      <c r="M195" s="3" t="s">
        <v>58</v>
      </c>
      <c r="N195" s="3" t="s">
        <v>59</v>
      </c>
      <c r="O195" s="4" t="n">
        <v>143</v>
      </c>
      <c r="P195" s="3" t="s">
        <v>48</v>
      </c>
      <c r="Q195" s="5" t="n">
        <v>52800</v>
      </c>
      <c r="R195" s="6" t="n">
        <v>0.1</v>
      </c>
      <c r="S195" s="5" t="n">
        <f aca="false">O195*Q195</f>
        <v>7550400</v>
      </c>
      <c r="T195" s="5" t="n">
        <f aca="false">S195*R195</f>
        <v>755040</v>
      </c>
      <c r="U195" s="5" t="n">
        <f aca="false">S195-T195</f>
        <v>6795360</v>
      </c>
      <c r="V195" s="3" t="s">
        <v>35</v>
      </c>
    </row>
    <row r="196" customFormat="false" ht="15" hidden="false" customHeight="false" outlineLevel="0" collapsed="false">
      <c r="A196" s="2" t="n">
        <v>46080</v>
      </c>
      <c r="B196" s="3" t="s">
        <v>344</v>
      </c>
      <c r="C196" s="3" t="s">
        <v>23</v>
      </c>
      <c r="D196" s="3" t="s">
        <v>24</v>
      </c>
      <c r="E196" s="3" t="s">
        <v>25</v>
      </c>
      <c r="F196" s="3" t="s">
        <v>26</v>
      </c>
      <c r="G196" s="3" t="s">
        <v>27</v>
      </c>
      <c r="H196" s="3" t="s">
        <v>53</v>
      </c>
      <c r="I196" s="3" t="s">
        <v>54</v>
      </c>
      <c r="J196" s="3" t="s">
        <v>55</v>
      </c>
      <c r="K196" s="3" t="s">
        <v>64</v>
      </c>
      <c r="L196" s="3" t="s">
        <v>65</v>
      </c>
      <c r="M196" s="3" t="s">
        <v>33</v>
      </c>
      <c r="N196" s="3" t="s">
        <v>33</v>
      </c>
      <c r="O196" s="4" t="n">
        <v>208</v>
      </c>
      <c r="P196" s="3" t="s">
        <v>66</v>
      </c>
      <c r="Q196" s="5" t="n">
        <v>28500</v>
      </c>
      <c r="R196" s="6" t="n">
        <v>0.1</v>
      </c>
      <c r="S196" s="5" t="n">
        <f aca="false">O196*Q196</f>
        <v>5928000</v>
      </c>
      <c r="T196" s="5" t="n">
        <f aca="false">S196*R196</f>
        <v>592800</v>
      </c>
      <c r="U196" s="5" t="n">
        <f aca="false">S196-T196</f>
        <v>5335200</v>
      </c>
      <c r="V196" s="3" t="s">
        <v>35</v>
      </c>
    </row>
    <row r="197" customFormat="false" ht="15" hidden="false" customHeight="false" outlineLevel="0" collapsed="false">
      <c r="A197" s="2" t="n">
        <v>46080</v>
      </c>
      <c r="B197" s="3" t="s">
        <v>345</v>
      </c>
      <c r="C197" s="3" t="s">
        <v>23</v>
      </c>
      <c r="D197" s="3" t="s">
        <v>24</v>
      </c>
      <c r="E197" s="3" t="s">
        <v>25</v>
      </c>
      <c r="F197" s="3" t="s">
        <v>26</v>
      </c>
      <c r="G197" s="3" t="s">
        <v>27</v>
      </c>
      <c r="H197" s="3" t="s">
        <v>28</v>
      </c>
      <c r="I197" s="3" t="s">
        <v>29</v>
      </c>
      <c r="J197" s="3" t="s">
        <v>30</v>
      </c>
      <c r="K197" s="3" t="s">
        <v>56</v>
      </c>
      <c r="L197" s="3" t="s">
        <v>57</v>
      </c>
      <c r="M197" s="3" t="s">
        <v>58</v>
      </c>
      <c r="N197" s="3" t="s">
        <v>59</v>
      </c>
      <c r="O197" s="4" t="n">
        <v>70</v>
      </c>
      <c r="P197" s="3" t="s">
        <v>48</v>
      </c>
      <c r="Q197" s="5" t="n">
        <v>52800</v>
      </c>
      <c r="R197" s="6" t="n">
        <v>0.12</v>
      </c>
      <c r="S197" s="5" t="n">
        <f aca="false">O197*Q197</f>
        <v>3696000</v>
      </c>
      <c r="T197" s="5" t="n">
        <f aca="false">S197*R197</f>
        <v>443520</v>
      </c>
      <c r="U197" s="5" t="n">
        <f aca="false">S197-T197</f>
        <v>3252480</v>
      </c>
      <c r="V197" s="3" t="s">
        <v>35</v>
      </c>
    </row>
    <row r="198" customFormat="false" ht="15" hidden="false" customHeight="false" outlineLevel="0" collapsed="false">
      <c r="A198" s="2" t="n">
        <v>46080</v>
      </c>
      <c r="B198" s="3" t="s">
        <v>346</v>
      </c>
      <c r="C198" s="3" t="s">
        <v>151</v>
      </c>
      <c r="D198" s="3" t="s">
        <v>152</v>
      </c>
      <c r="E198" s="3" t="s">
        <v>76</v>
      </c>
      <c r="F198" s="3" t="s">
        <v>153</v>
      </c>
      <c r="G198" s="3" t="s">
        <v>86</v>
      </c>
      <c r="H198" s="3" t="s">
        <v>87</v>
      </c>
      <c r="I198" s="3" t="s">
        <v>88</v>
      </c>
      <c r="J198" s="3" t="s">
        <v>89</v>
      </c>
      <c r="K198" s="3" t="s">
        <v>44</v>
      </c>
      <c r="L198" s="3" t="s">
        <v>45</v>
      </c>
      <c r="M198" s="3" t="s">
        <v>46</v>
      </c>
      <c r="N198" s="3" t="s">
        <v>47</v>
      </c>
      <c r="O198" s="4" t="n">
        <v>266</v>
      </c>
      <c r="P198" s="3" t="s">
        <v>48</v>
      </c>
      <c r="Q198" s="5" t="n">
        <v>142000</v>
      </c>
      <c r="R198" s="6" t="n">
        <v>0.03</v>
      </c>
      <c r="S198" s="5" t="n">
        <f aca="false">O198*Q198</f>
        <v>37772000</v>
      </c>
      <c r="T198" s="5" t="n">
        <f aca="false">S198*R198</f>
        <v>1133160</v>
      </c>
      <c r="U198" s="5" t="n">
        <f aca="false">S198-T198</f>
        <v>36638840</v>
      </c>
      <c r="V198" s="3" t="s">
        <v>81</v>
      </c>
    </row>
    <row r="199" customFormat="false" ht="15" hidden="false" customHeight="false" outlineLevel="0" collapsed="false">
      <c r="A199" s="2" t="n">
        <v>46081</v>
      </c>
      <c r="B199" s="3" t="s">
        <v>347</v>
      </c>
      <c r="C199" s="3" t="s">
        <v>50</v>
      </c>
      <c r="D199" s="3" t="s">
        <v>51</v>
      </c>
      <c r="E199" s="3" t="s">
        <v>25</v>
      </c>
      <c r="F199" s="3" t="s">
        <v>52</v>
      </c>
      <c r="G199" s="3" t="s">
        <v>27</v>
      </c>
      <c r="H199" s="3" t="s">
        <v>28</v>
      </c>
      <c r="I199" s="3" t="s">
        <v>29</v>
      </c>
      <c r="J199" s="3" t="s">
        <v>30</v>
      </c>
      <c r="K199" s="3" t="s">
        <v>71</v>
      </c>
      <c r="L199" s="3" t="s">
        <v>72</v>
      </c>
      <c r="M199" s="3" t="s">
        <v>46</v>
      </c>
      <c r="N199" s="3" t="s">
        <v>47</v>
      </c>
      <c r="O199" s="4" t="n">
        <v>40</v>
      </c>
      <c r="P199" s="3" t="s">
        <v>48</v>
      </c>
      <c r="Q199" s="5" t="n">
        <v>156000</v>
      </c>
      <c r="R199" s="6" t="n">
        <v>0.08</v>
      </c>
      <c r="S199" s="5" t="n">
        <f aca="false">O199*Q199</f>
        <v>6240000</v>
      </c>
      <c r="T199" s="5" t="n">
        <f aca="false">S199*R199</f>
        <v>499200</v>
      </c>
      <c r="U199" s="5" t="n">
        <f aca="false">S199-T199</f>
        <v>5740800</v>
      </c>
      <c r="V199" s="3" t="s">
        <v>35</v>
      </c>
    </row>
    <row r="200" customFormat="false" ht="15" hidden="false" customHeight="false" outlineLevel="0" collapsed="false">
      <c r="A200" s="2" t="n">
        <v>46081</v>
      </c>
      <c r="B200" s="3" t="s">
        <v>348</v>
      </c>
      <c r="C200" s="3" t="s">
        <v>113</v>
      </c>
      <c r="D200" s="3" t="s">
        <v>114</v>
      </c>
      <c r="E200" s="3" t="s">
        <v>25</v>
      </c>
      <c r="F200" s="3" t="s">
        <v>85</v>
      </c>
      <c r="G200" s="3" t="s">
        <v>27</v>
      </c>
      <c r="H200" s="3" t="s">
        <v>28</v>
      </c>
      <c r="I200" s="3" t="s">
        <v>29</v>
      </c>
      <c r="J200" s="3" t="s">
        <v>30</v>
      </c>
      <c r="K200" s="3" t="s">
        <v>71</v>
      </c>
      <c r="L200" s="3" t="s">
        <v>72</v>
      </c>
      <c r="M200" s="3" t="s">
        <v>46</v>
      </c>
      <c r="N200" s="3" t="s">
        <v>47</v>
      </c>
      <c r="O200" s="4" t="n">
        <v>97</v>
      </c>
      <c r="P200" s="3" t="s">
        <v>48</v>
      </c>
      <c r="Q200" s="5" t="n">
        <v>156000</v>
      </c>
      <c r="R200" s="6" t="n">
        <v>0.15</v>
      </c>
      <c r="S200" s="5" t="n">
        <f aca="false">O200*Q200</f>
        <v>15132000</v>
      </c>
      <c r="T200" s="5" t="n">
        <f aca="false">S200*R200</f>
        <v>2269800</v>
      </c>
      <c r="U200" s="5" t="n">
        <f aca="false">S200-T200</f>
        <v>12862200</v>
      </c>
      <c r="V200" s="3" t="s">
        <v>35</v>
      </c>
    </row>
    <row r="201" customFormat="false" ht="15" hidden="false" customHeight="false" outlineLevel="0" collapsed="false">
      <c r="A201" s="2" t="n">
        <v>46081</v>
      </c>
      <c r="B201" s="3" t="s">
        <v>349</v>
      </c>
      <c r="C201" s="3" t="s">
        <v>83</v>
      </c>
      <c r="D201" s="3" t="s">
        <v>84</v>
      </c>
      <c r="E201" s="3" t="s">
        <v>76</v>
      </c>
      <c r="F201" s="3" t="s">
        <v>85</v>
      </c>
      <c r="G201" s="3" t="s">
        <v>86</v>
      </c>
      <c r="H201" s="3" t="s">
        <v>87</v>
      </c>
      <c r="I201" s="3" t="s">
        <v>88</v>
      </c>
      <c r="J201" s="3" t="s">
        <v>89</v>
      </c>
      <c r="K201" s="3" t="s">
        <v>64</v>
      </c>
      <c r="L201" s="3" t="s">
        <v>65</v>
      </c>
      <c r="M201" s="3" t="s">
        <v>33</v>
      </c>
      <c r="N201" s="3" t="s">
        <v>33</v>
      </c>
      <c r="O201" s="4" t="n">
        <v>48</v>
      </c>
      <c r="P201" s="3" t="s">
        <v>66</v>
      </c>
      <c r="Q201" s="5" t="n">
        <v>28500</v>
      </c>
      <c r="R201" s="6" t="n">
        <v>0.02</v>
      </c>
      <c r="S201" s="5" t="n">
        <f aca="false">O201*Q201</f>
        <v>1368000</v>
      </c>
      <c r="T201" s="5" t="n">
        <f aca="false">S201*R201</f>
        <v>27360</v>
      </c>
      <c r="U201" s="5" t="n">
        <f aca="false">S201-T201</f>
        <v>1340640</v>
      </c>
      <c r="V201" s="3" t="s">
        <v>81</v>
      </c>
    </row>
    <row r="202" customFormat="false" ht="15" hidden="false" customHeight="false" outlineLevel="0" collapsed="false">
      <c r="A202" s="2" t="n">
        <v>46081</v>
      </c>
      <c r="B202" s="3" t="s">
        <v>350</v>
      </c>
      <c r="C202" s="3" t="s">
        <v>61</v>
      </c>
      <c r="D202" s="3" t="s">
        <v>62</v>
      </c>
      <c r="E202" s="3" t="s">
        <v>25</v>
      </c>
      <c r="F202" s="3" t="s">
        <v>63</v>
      </c>
      <c r="G202" s="3" t="s">
        <v>27</v>
      </c>
      <c r="H202" s="3" t="s">
        <v>53</v>
      </c>
      <c r="I202" s="3" t="s">
        <v>54</v>
      </c>
      <c r="J202" s="3" t="s">
        <v>55</v>
      </c>
      <c r="K202" s="3" t="s">
        <v>31</v>
      </c>
      <c r="L202" s="3" t="s">
        <v>32</v>
      </c>
      <c r="M202" s="3" t="s">
        <v>33</v>
      </c>
      <c r="N202" s="3" t="s">
        <v>33</v>
      </c>
      <c r="O202" s="4" t="n">
        <v>148</v>
      </c>
      <c r="P202" s="3" t="s">
        <v>34</v>
      </c>
      <c r="Q202" s="5" t="n">
        <v>34200</v>
      </c>
      <c r="R202" s="6" t="n">
        <v>0.1</v>
      </c>
      <c r="S202" s="5" t="n">
        <f aca="false">O202*Q202</f>
        <v>5061600</v>
      </c>
      <c r="T202" s="5" t="n">
        <f aca="false">S202*R202</f>
        <v>506160</v>
      </c>
      <c r="U202" s="5" t="n">
        <f aca="false">S202-T202</f>
        <v>4555440</v>
      </c>
      <c r="V202" s="3" t="s">
        <v>35</v>
      </c>
    </row>
    <row r="203" customFormat="false" ht="15" hidden="false" customHeight="false" outlineLevel="0" collapsed="false">
      <c r="A203" s="2" t="n">
        <v>46081</v>
      </c>
      <c r="B203" s="3" t="s">
        <v>351</v>
      </c>
      <c r="C203" s="3" t="s">
        <v>101</v>
      </c>
      <c r="D203" s="3" t="s">
        <v>102</v>
      </c>
      <c r="E203" s="3" t="s">
        <v>25</v>
      </c>
      <c r="F203" s="3" t="s">
        <v>40</v>
      </c>
      <c r="G203" s="3" t="s">
        <v>27</v>
      </c>
      <c r="H203" s="3" t="s">
        <v>133</v>
      </c>
      <c r="I203" s="3" t="s">
        <v>134</v>
      </c>
      <c r="J203" s="3" t="s">
        <v>135</v>
      </c>
      <c r="K203" s="3" t="s">
        <v>56</v>
      </c>
      <c r="L203" s="3" t="s">
        <v>57</v>
      </c>
      <c r="M203" s="3" t="s">
        <v>58</v>
      </c>
      <c r="N203" s="3" t="s">
        <v>59</v>
      </c>
      <c r="O203" s="4" t="n">
        <v>197</v>
      </c>
      <c r="P203" s="3" t="s">
        <v>48</v>
      </c>
      <c r="Q203" s="5" t="n">
        <v>52800</v>
      </c>
      <c r="R203" s="6" t="n">
        <v>0.12</v>
      </c>
      <c r="S203" s="5" t="n">
        <f aca="false">O203*Q203</f>
        <v>10401600</v>
      </c>
      <c r="T203" s="5" t="n">
        <f aca="false">S203*R203</f>
        <v>1248192</v>
      </c>
      <c r="U203" s="5" t="n">
        <f aca="false">S203-T203</f>
        <v>9153408</v>
      </c>
      <c r="V203" s="3" t="s">
        <v>35</v>
      </c>
    </row>
    <row r="204" customFormat="false" ht="15" hidden="false" customHeight="false" outlineLevel="0" collapsed="false">
      <c r="A204" s="2" t="n">
        <v>46081</v>
      </c>
      <c r="B204" s="3" t="s">
        <v>352</v>
      </c>
      <c r="C204" s="3" t="s">
        <v>94</v>
      </c>
      <c r="D204" s="3" t="s">
        <v>95</v>
      </c>
      <c r="E204" s="3" t="s">
        <v>76</v>
      </c>
      <c r="F204" s="3" t="s">
        <v>96</v>
      </c>
      <c r="G204" s="3" t="s">
        <v>97</v>
      </c>
      <c r="H204" s="3" t="s">
        <v>68</v>
      </c>
      <c r="I204" s="3" t="s">
        <v>69</v>
      </c>
      <c r="J204" s="3" t="s">
        <v>70</v>
      </c>
      <c r="K204" s="3" t="s">
        <v>64</v>
      </c>
      <c r="L204" s="3" t="s">
        <v>65</v>
      </c>
      <c r="M204" s="3" t="s">
        <v>33</v>
      </c>
      <c r="N204" s="3" t="s">
        <v>33</v>
      </c>
      <c r="O204" s="4" t="n">
        <v>155</v>
      </c>
      <c r="P204" s="3" t="s">
        <v>66</v>
      </c>
      <c r="Q204" s="5" t="n">
        <v>28500</v>
      </c>
      <c r="R204" s="6" t="n">
        <v>0.02</v>
      </c>
      <c r="S204" s="5" t="n">
        <f aca="false">O204*Q204</f>
        <v>4417500</v>
      </c>
      <c r="T204" s="5" t="n">
        <f aca="false">S204*R204</f>
        <v>88350</v>
      </c>
      <c r="U204" s="5" t="n">
        <f aca="false">S204-T204</f>
        <v>4329150</v>
      </c>
      <c r="V204" s="3" t="s">
        <v>81</v>
      </c>
    </row>
    <row r="205" customFormat="false" ht="15" hidden="false" customHeight="false" outlineLevel="0" collapsed="false">
      <c r="A205" s="2" t="n">
        <v>46081</v>
      </c>
      <c r="B205" s="3" t="s">
        <v>353</v>
      </c>
      <c r="C205" s="3" t="s">
        <v>23</v>
      </c>
      <c r="D205" s="3" t="s">
        <v>24</v>
      </c>
      <c r="E205" s="3" t="s">
        <v>25</v>
      </c>
      <c r="F205" s="3" t="s">
        <v>26</v>
      </c>
      <c r="G205" s="3" t="s">
        <v>27</v>
      </c>
      <c r="H205" s="3" t="s">
        <v>53</v>
      </c>
      <c r="I205" s="3" t="s">
        <v>54</v>
      </c>
      <c r="J205" s="3" t="s">
        <v>55</v>
      </c>
      <c r="K205" s="3" t="s">
        <v>128</v>
      </c>
      <c r="L205" s="3" t="s">
        <v>129</v>
      </c>
      <c r="M205" s="3" t="s">
        <v>130</v>
      </c>
      <c r="N205" s="3" t="s">
        <v>131</v>
      </c>
      <c r="O205" s="4" t="n">
        <v>146</v>
      </c>
      <c r="P205" s="3" t="s">
        <v>48</v>
      </c>
      <c r="Q205" s="5" t="n">
        <v>84500</v>
      </c>
      <c r="R205" s="6" t="n">
        <v>0.12</v>
      </c>
      <c r="S205" s="5" t="n">
        <f aca="false">O205*Q205</f>
        <v>12337000</v>
      </c>
      <c r="T205" s="5" t="n">
        <f aca="false">S205*R205</f>
        <v>1480440</v>
      </c>
      <c r="U205" s="5" t="n">
        <f aca="false">S205-T205</f>
        <v>10856560</v>
      </c>
      <c r="V205" s="3" t="s">
        <v>35</v>
      </c>
    </row>
    <row r="206" customFormat="false" ht="15" hidden="false" customHeight="false" outlineLevel="0" collapsed="false">
      <c r="A206" s="2" t="n">
        <v>46081</v>
      </c>
      <c r="B206" s="3" t="s">
        <v>354</v>
      </c>
      <c r="C206" s="3" t="s">
        <v>50</v>
      </c>
      <c r="D206" s="3" t="s">
        <v>51</v>
      </c>
      <c r="E206" s="3" t="s">
        <v>25</v>
      </c>
      <c r="F206" s="3" t="s">
        <v>52</v>
      </c>
      <c r="G206" s="3" t="s">
        <v>27</v>
      </c>
      <c r="H206" s="3" t="s">
        <v>133</v>
      </c>
      <c r="I206" s="3" t="s">
        <v>134</v>
      </c>
      <c r="J206" s="3" t="s">
        <v>135</v>
      </c>
      <c r="K206" s="3" t="s">
        <v>56</v>
      </c>
      <c r="L206" s="3" t="s">
        <v>57</v>
      </c>
      <c r="M206" s="3" t="s">
        <v>58</v>
      </c>
      <c r="N206" s="3" t="s">
        <v>59</v>
      </c>
      <c r="O206" s="4" t="n">
        <v>40</v>
      </c>
      <c r="P206" s="3" t="s">
        <v>48</v>
      </c>
      <c r="Q206" s="5" t="n">
        <v>52800</v>
      </c>
      <c r="R206" s="6" t="n">
        <v>0.1</v>
      </c>
      <c r="S206" s="5" t="n">
        <f aca="false">O206*Q206</f>
        <v>2112000</v>
      </c>
      <c r="T206" s="5" t="n">
        <f aca="false">S206*R206</f>
        <v>211200</v>
      </c>
      <c r="U206" s="5" t="n">
        <f aca="false">S206-T206</f>
        <v>1900800</v>
      </c>
      <c r="V206" s="3" t="s">
        <v>35</v>
      </c>
    </row>
    <row r="207" customFormat="false" ht="15" hidden="false" customHeight="false" outlineLevel="0" collapsed="false">
      <c r="A207" s="2" t="n">
        <v>46082</v>
      </c>
      <c r="B207" s="3" t="s">
        <v>355</v>
      </c>
      <c r="C207" s="3" t="s">
        <v>23</v>
      </c>
      <c r="D207" s="3" t="s">
        <v>24</v>
      </c>
      <c r="E207" s="3" t="s">
        <v>25</v>
      </c>
      <c r="F207" s="3" t="s">
        <v>26</v>
      </c>
      <c r="G207" s="3" t="s">
        <v>27</v>
      </c>
      <c r="H207" s="3" t="s">
        <v>53</v>
      </c>
      <c r="I207" s="3" t="s">
        <v>54</v>
      </c>
      <c r="J207" s="3" t="s">
        <v>55</v>
      </c>
      <c r="K207" s="3" t="s">
        <v>115</v>
      </c>
      <c r="L207" s="3" t="s">
        <v>116</v>
      </c>
      <c r="M207" s="3" t="s">
        <v>92</v>
      </c>
      <c r="N207" s="3" t="s">
        <v>117</v>
      </c>
      <c r="O207" s="4" t="n">
        <v>62</v>
      </c>
      <c r="P207" s="3" t="s">
        <v>48</v>
      </c>
      <c r="Q207" s="5" t="n">
        <v>42300</v>
      </c>
      <c r="R207" s="6" t="n">
        <v>0.12</v>
      </c>
      <c r="S207" s="5" t="n">
        <f aca="false">O207*Q207</f>
        <v>2622600</v>
      </c>
      <c r="T207" s="5" t="n">
        <f aca="false">S207*R207</f>
        <v>314712</v>
      </c>
      <c r="U207" s="5" t="n">
        <f aca="false">S207-T207</f>
        <v>2307888</v>
      </c>
      <c r="V207" s="3" t="s">
        <v>35</v>
      </c>
    </row>
    <row r="208" customFormat="false" ht="15" hidden="false" customHeight="false" outlineLevel="0" collapsed="false">
      <c r="A208" s="2" t="n">
        <v>46083</v>
      </c>
      <c r="B208" s="3" t="s">
        <v>356</v>
      </c>
      <c r="C208" s="3" t="s">
        <v>141</v>
      </c>
      <c r="D208" s="3" t="s">
        <v>142</v>
      </c>
      <c r="E208" s="3" t="s">
        <v>25</v>
      </c>
      <c r="F208" s="3" t="s">
        <v>143</v>
      </c>
      <c r="G208" s="3" t="s">
        <v>27</v>
      </c>
      <c r="H208" s="3" t="s">
        <v>28</v>
      </c>
      <c r="I208" s="3" t="s">
        <v>29</v>
      </c>
      <c r="J208" s="3" t="s">
        <v>30</v>
      </c>
      <c r="K208" s="3" t="s">
        <v>128</v>
      </c>
      <c r="L208" s="3" t="s">
        <v>129</v>
      </c>
      <c r="M208" s="3" t="s">
        <v>130</v>
      </c>
      <c r="N208" s="3" t="s">
        <v>131</v>
      </c>
      <c r="O208" s="4" t="n">
        <v>51</v>
      </c>
      <c r="P208" s="3" t="s">
        <v>48</v>
      </c>
      <c r="Q208" s="5" t="n">
        <v>84500</v>
      </c>
      <c r="R208" s="6" t="n">
        <v>0.12</v>
      </c>
      <c r="S208" s="5" t="n">
        <f aca="false">O208*Q208</f>
        <v>4309500</v>
      </c>
      <c r="T208" s="5" t="n">
        <f aca="false">S208*R208</f>
        <v>517140</v>
      </c>
      <c r="U208" s="5" t="n">
        <f aca="false">S208-T208</f>
        <v>3792360</v>
      </c>
      <c r="V208" s="3" t="s">
        <v>35</v>
      </c>
    </row>
    <row r="209" customFormat="false" ht="15" hidden="false" customHeight="false" outlineLevel="0" collapsed="false">
      <c r="A209" s="2" t="n">
        <v>46083</v>
      </c>
      <c r="B209" s="3" t="s">
        <v>357</v>
      </c>
      <c r="C209" s="3" t="s">
        <v>137</v>
      </c>
      <c r="D209" s="3" t="s">
        <v>138</v>
      </c>
      <c r="E209" s="3" t="s">
        <v>76</v>
      </c>
      <c r="F209" s="3" t="s">
        <v>40</v>
      </c>
      <c r="G209" s="3" t="s">
        <v>77</v>
      </c>
      <c r="H209" s="3" t="s">
        <v>78</v>
      </c>
      <c r="I209" s="3" t="s">
        <v>79</v>
      </c>
      <c r="J209" s="3" t="s">
        <v>80</v>
      </c>
      <c r="K209" s="3" t="s">
        <v>64</v>
      </c>
      <c r="L209" s="3" t="s">
        <v>65</v>
      </c>
      <c r="M209" s="3" t="s">
        <v>33</v>
      </c>
      <c r="N209" s="3" t="s">
        <v>33</v>
      </c>
      <c r="O209" s="4" t="n">
        <v>137</v>
      </c>
      <c r="P209" s="3" t="s">
        <v>66</v>
      </c>
      <c r="Q209" s="5" t="n">
        <v>28500</v>
      </c>
      <c r="R209" s="6" t="n">
        <v>0.03</v>
      </c>
      <c r="S209" s="5" t="n">
        <f aca="false">O209*Q209</f>
        <v>3904500</v>
      </c>
      <c r="T209" s="5" t="n">
        <f aca="false">S209*R209</f>
        <v>117135</v>
      </c>
      <c r="U209" s="5" t="n">
        <f aca="false">S209-T209</f>
        <v>3787365</v>
      </c>
      <c r="V209" s="3" t="s">
        <v>81</v>
      </c>
    </row>
    <row r="210" customFormat="false" ht="15" hidden="false" customHeight="false" outlineLevel="0" collapsed="false">
      <c r="A210" s="2" t="n">
        <v>46084</v>
      </c>
      <c r="B210" s="3" t="s">
        <v>358</v>
      </c>
      <c r="C210" s="3" t="s">
        <v>101</v>
      </c>
      <c r="D210" s="3" t="s">
        <v>102</v>
      </c>
      <c r="E210" s="3" t="s">
        <v>25</v>
      </c>
      <c r="F210" s="3" t="s">
        <v>40</v>
      </c>
      <c r="G210" s="3" t="s">
        <v>27</v>
      </c>
      <c r="H210" s="3" t="s">
        <v>133</v>
      </c>
      <c r="I210" s="3" t="s">
        <v>134</v>
      </c>
      <c r="J210" s="3" t="s">
        <v>135</v>
      </c>
      <c r="K210" s="3" t="s">
        <v>192</v>
      </c>
      <c r="L210" s="3" t="s">
        <v>193</v>
      </c>
      <c r="M210" s="3" t="s">
        <v>46</v>
      </c>
      <c r="N210" s="3" t="s">
        <v>194</v>
      </c>
      <c r="O210" s="4" t="n">
        <v>64</v>
      </c>
      <c r="P210" s="3" t="s">
        <v>48</v>
      </c>
      <c r="Q210" s="5" t="n">
        <v>168000</v>
      </c>
      <c r="R210" s="6" t="n">
        <v>0.15</v>
      </c>
      <c r="S210" s="5" t="n">
        <f aca="false">O210*Q210</f>
        <v>10752000</v>
      </c>
      <c r="T210" s="5" t="n">
        <f aca="false">S210*R210</f>
        <v>1612800</v>
      </c>
      <c r="U210" s="5" t="n">
        <f aca="false">S210-T210</f>
        <v>9139200</v>
      </c>
      <c r="V210" s="3" t="s">
        <v>35</v>
      </c>
    </row>
    <row r="211" customFormat="false" ht="15" hidden="false" customHeight="false" outlineLevel="0" collapsed="false">
      <c r="A211" s="2" t="n">
        <v>46084</v>
      </c>
      <c r="B211" s="3" t="s">
        <v>359</v>
      </c>
      <c r="C211" s="3" t="s">
        <v>23</v>
      </c>
      <c r="D211" s="3" t="s">
        <v>24</v>
      </c>
      <c r="E211" s="3" t="s">
        <v>25</v>
      </c>
      <c r="F211" s="3" t="s">
        <v>26</v>
      </c>
      <c r="G211" s="3" t="s">
        <v>27</v>
      </c>
      <c r="H211" s="3" t="s">
        <v>53</v>
      </c>
      <c r="I211" s="3" t="s">
        <v>54</v>
      </c>
      <c r="J211" s="3" t="s">
        <v>55</v>
      </c>
      <c r="K211" s="3" t="s">
        <v>56</v>
      </c>
      <c r="L211" s="3" t="s">
        <v>57</v>
      </c>
      <c r="M211" s="3" t="s">
        <v>58</v>
      </c>
      <c r="N211" s="3" t="s">
        <v>59</v>
      </c>
      <c r="O211" s="4" t="n">
        <v>174</v>
      </c>
      <c r="P211" s="3" t="s">
        <v>48</v>
      </c>
      <c r="Q211" s="5" t="n">
        <v>52800</v>
      </c>
      <c r="R211" s="6" t="n">
        <v>0.12</v>
      </c>
      <c r="S211" s="5" t="n">
        <f aca="false">O211*Q211</f>
        <v>9187200</v>
      </c>
      <c r="T211" s="5" t="n">
        <f aca="false">S211*R211</f>
        <v>1102464</v>
      </c>
      <c r="U211" s="5" t="n">
        <f aca="false">S211-T211</f>
        <v>8084736</v>
      </c>
      <c r="V211" s="3" t="s">
        <v>35</v>
      </c>
    </row>
    <row r="212" customFormat="false" ht="15" hidden="false" customHeight="false" outlineLevel="0" collapsed="false">
      <c r="A212" s="2" t="n">
        <v>46084</v>
      </c>
      <c r="B212" s="3" t="s">
        <v>360</v>
      </c>
      <c r="C212" s="3" t="s">
        <v>104</v>
      </c>
      <c r="D212" s="3" t="s">
        <v>105</v>
      </c>
      <c r="E212" s="3" t="s">
        <v>25</v>
      </c>
      <c r="F212" s="3" t="s">
        <v>106</v>
      </c>
      <c r="G212" s="3" t="s">
        <v>27</v>
      </c>
      <c r="H212" s="3" t="s">
        <v>28</v>
      </c>
      <c r="I212" s="3" t="s">
        <v>29</v>
      </c>
      <c r="J212" s="3" t="s">
        <v>30</v>
      </c>
      <c r="K212" s="3" t="s">
        <v>144</v>
      </c>
      <c r="L212" s="3" t="s">
        <v>145</v>
      </c>
      <c r="M212" s="3" t="s">
        <v>146</v>
      </c>
      <c r="N212" s="3" t="s">
        <v>111</v>
      </c>
      <c r="O212" s="4" t="n">
        <v>79</v>
      </c>
      <c r="P212" s="3" t="s">
        <v>48</v>
      </c>
      <c r="Q212" s="5" t="n">
        <v>89000</v>
      </c>
      <c r="R212" s="6" t="n">
        <v>0.15</v>
      </c>
      <c r="S212" s="5" t="n">
        <f aca="false">O212*Q212</f>
        <v>7031000</v>
      </c>
      <c r="T212" s="5" t="n">
        <f aca="false">S212*R212</f>
        <v>1054650</v>
      </c>
      <c r="U212" s="5" t="n">
        <f aca="false">S212-T212</f>
        <v>5976350</v>
      </c>
      <c r="V212" s="3" t="s">
        <v>35</v>
      </c>
    </row>
    <row r="213" customFormat="false" ht="15" hidden="false" customHeight="false" outlineLevel="0" collapsed="false">
      <c r="A213" s="2" t="n">
        <v>46084</v>
      </c>
      <c r="B213" s="3" t="s">
        <v>361</v>
      </c>
      <c r="C213" s="3" t="s">
        <v>101</v>
      </c>
      <c r="D213" s="3" t="s">
        <v>102</v>
      </c>
      <c r="E213" s="3" t="s">
        <v>25</v>
      </c>
      <c r="F213" s="3" t="s">
        <v>40</v>
      </c>
      <c r="G213" s="3" t="s">
        <v>27</v>
      </c>
      <c r="H213" s="3" t="s">
        <v>28</v>
      </c>
      <c r="I213" s="3" t="s">
        <v>29</v>
      </c>
      <c r="J213" s="3" t="s">
        <v>30</v>
      </c>
      <c r="K213" s="3" t="s">
        <v>71</v>
      </c>
      <c r="L213" s="3" t="s">
        <v>72</v>
      </c>
      <c r="M213" s="3" t="s">
        <v>46</v>
      </c>
      <c r="N213" s="3" t="s">
        <v>47</v>
      </c>
      <c r="O213" s="4" t="n">
        <v>172</v>
      </c>
      <c r="P213" s="3" t="s">
        <v>48</v>
      </c>
      <c r="Q213" s="5" t="n">
        <v>156000</v>
      </c>
      <c r="R213" s="6" t="n">
        <v>0.12</v>
      </c>
      <c r="S213" s="5" t="n">
        <f aca="false">O213*Q213</f>
        <v>26832000</v>
      </c>
      <c r="T213" s="5" t="n">
        <f aca="false">S213*R213</f>
        <v>3219840</v>
      </c>
      <c r="U213" s="5" t="n">
        <f aca="false">S213-T213</f>
        <v>23612160</v>
      </c>
      <c r="V213" s="3" t="s">
        <v>35</v>
      </c>
    </row>
    <row r="214" customFormat="false" ht="15" hidden="false" customHeight="false" outlineLevel="0" collapsed="false">
      <c r="A214" s="2" t="n">
        <v>46085</v>
      </c>
      <c r="B214" s="3" t="s">
        <v>362</v>
      </c>
      <c r="C214" s="3" t="s">
        <v>137</v>
      </c>
      <c r="D214" s="3" t="s">
        <v>138</v>
      </c>
      <c r="E214" s="3" t="s">
        <v>76</v>
      </c>
      <c r="F214" s="3" t="s">
        <v>40</v>
      </c>
      <c r="G214" s="3" t="s">
        <v>77</v>
      </c>
      <c r="H214" s="3" t="s">
        <v>78</v>
      </c>
      <c r="I214" s="3" t="s">
        <v>79</v>
      </c>
      <c r="J214" s="3" t="s">
        <v>80</v>
      </c>
      <c r="K214" s="3" t="s">
        <v>144</v>
      </c>
      <c r="L214" s="3" t="s">
        <v>145</v>
      </c>
      <c r="M214" s="3" t="s">
        <v>146</v>
      </c>
      <c r="N214" s="3" t="s">
        <v>111</v>
      </c>
      <c r="O214" s="4" t="n">
        <v>451</v>
      </c>
      <c r="P214" s="3" t="s">
        <v>48</v>
      </c>
      <c r="Q214" s="5" t="n">
        <v>89000</v>
      </c>
      <c r="R214" s="6" t="n">
        <v>0.08</v>
      </c>
      <c r="S214" s="5" t="n">
        <f aca="false">O214*Q214</f>
        <v>40139000</v>
      </c>
      <c r="T214" s="5" t="n">
        <f aca="false">S214*R214</f>
        <v>3211120</v>
      </c>
      <c r="U214" s="5" t="n">
        <f aca="false">S214-T214</f>
        <v>36927880</v>
      </c>
      <c r="V214" s="3" t="s">
        <v>81</v>
      </c>
    </row>
    <row r="215" customFormat="false" ht="15" hidden="false" customHeight="false" outlineLevel="0" collapsed="false">
      <c r="A215" s="2" t="n">
        <v>46085</v>
      </c>
      <c r="B215" s="3" t="s">
        <v>363</v>
      </c>
      <c r="C215" s="3" t="s">
        <v>101</v>
      </c>
      <c r="D215" s="3" t="s">
        <v>102</v>
      </c>
      <c r="E215" s="3" t="s">
        <v>25</v>
      </c>
      <c r="F215" s="3" t="s">
        <v>40</v>
      </c>
      <c r="G215" s="3" t="s">
        <v>27</v>
      </c>
      <c r="H215" s="3" t="s">
        <v>133</v>
      </c>
      <c r="I215" s="3" t="s">
        <v>134</v>
      </c>
      <c r="J215" s="3" t="s">
        <v>135</v>
      </c>
      <c r="K215" s="3" t="s">
        <v>90</v>
      </c>
      <c r="L215" s="3" t="s">
        <v>91</v>
      </c>
      <c r="M215" s="3" t="s">
        <v>92</v>
      </c>
      <c r="N215" s="3" t="s">
        <v>59</v>
      </c>
      <c r="O215" s="4" t="n">
        <v>204</v>
      </c>
      <c r="P215" s="3" t="s">
        <v>48</v>
      </c>
      <c r="Q215" s="5" t="n">
        <v>96500</v>
      </c>
      <c r="R215" s="6" t="n">
        <v>0.08</v>
      </c>
      <c r="S215" s="5" t="n">
        <f aca="false">O215*Q215</f>
        <v>19686000</v>
      </c>
      <c r="T215" s="5" t="n">
        <f aca="false">S215*R215</f>
        <v>1574880</v>
      </c>
      <c r="U215" s="5" t="n">
        <f aca="false">S215-T215</f>
        <v>18111120</v>
      </c>
      <c r="V215" s="3" t="s">
        <v>35</v>
      </c>
    </row>
    <row r="216" customFormat="false" ht="15" hidden="false" customHeight="false" outlineLevel="0" collapsed="false">
      <c r="A216" s="2" t="n">
        <v>46085</v>
      </c>
      <c r="B216" s="3" t="s">
        <v>364</v>
      </c>
      <c r="C216" s="3" t="s">
        <v>50</v>
      </c>
      <c r="D216" s="3" t="s">
        <v>51</v>
      </c>
      <c r="E216" s="3" t="s">
        <v>25</v>
      </c>
      <c r="F216" s="3" t="s">
        <v>52</v>
      </c>
      <c r="G216" s="3" t="s">
        <v>27</v>
      </c>
      <c r="H216" s="3" t="s">
        <v>53</v>
      </c>
      <c r="I216" s="3" t="s">
        <v>54</v>
      </c>
      <c r="J216" s="3" t="s">
        <v>55</v>
      </c>
      <c r="K216" s="3" t="s">
        <v>64</v>
      </c>
      <c r="L216" s="3" t="s">
        <v>65</v>
      </c>
      <c r="M216" s="3" t="s">
        <v>33</v>
      </c>
      <c r="N216" s="3" t="s">
        <v>33</v>
      </c>
      <c r="O216" s="4" t="n">
        <v>181</v>
      </c>
      <c r="P216" s="3" t="s">
        <v>66</v>
      </c>
      <c r="Q216" s="5" t="n">
        <v>28500</v>
      </c>
      <c r="R216" s="6" t="n">
        <v>0.08</v>
      </c>
      <c r="S216" s="5" t="n">
        <f aca="false">O216*Q216</f>
        <v>5158500</v>
      </c>
      <c r="T216" s="5" t="n">
        <f aca="false">S216*R216</f>
        <v>412680</v>
      </c>
      <c r="U216" s="5" t="n">
        <f aca="false">S216-T216</f>
        <v>4745820</v>
      </c>
      <c r="V216" s="3" t="s">
        <v>35</v>
      </c>
    </row>
    <row r="217" customFormat="false" ht="15" hidden="false" customHeight="false" outlineLevel="0" collapsed="false">
      <c r="A217" s="2" t="n">
        <v>46085</v>
      </c>
      <c r="B217" s="3" t="s">
        <v>365</v>
      </c>
      <c r="C217" s="3" t="s">
        <v>83</v>
      </c>
      <c r="D217" s="3" t="s">
        <v>84</v>
      </c>
      <c r="E217" s="3" t="s">
        <v>76</v>
      </c>
      <c r="F217" s="3" t="s">
        <v>85</v>
      </c>
      <c r="G217" s="3" t="s">
        <v>86</v>
      </c>
      <c r="H217" s="3" t="s">
        <v>87</v>
      </c>
      <c r="I217" s="3" t="s">
        <v>88</v>
      </c>
      <c r="J217" s="3" t="s">
        <v>89</v>
      </c>
      <c r="K217" s="3" t="s">
        <v>115</v>
      </c>
      <c r="L217" s="3" t="s">
        <v>116</v>
      </c>
      <c r="M217" s="3" t="s">
        <v>92</v>
      </c>
      <c r="N217" s="3" t="s">
        <v>117</v>
      </c>
      <c r="O217" s="4" t="n">
        <v>351</v>
      </c>
      <c r="P217" s="3" t="s">
        <v>48</v>
      </c>
      <c r="Q217" s="5" t="n">
        <v>42300</v>
      </c>
      <c r="R217" s="6" t="n">
        <v>0.08</v>
      </c>
      <c r="S217" s="5" t="n">
        <f aca="false">O217*Q217</f>
        <v>14847300</v>
      </c>
      <c r="T217" s="5" t="n">
        <f aca="false">S217*R217</f>
        <v>1187784</v>
      </c>
      <c r="U217" s="5" t="n">
        <f aca="false">S217-T217</f>
        <v>13659516</v>
      </c>
      <c r="V217" s="3" t="s">
        <v>81</v>
      </c>
    </row>
    <row r="218" customFormat="false" ht="15" hidden="false" customHeight="false" outlineLevel="0" collapsed="false">
      <c r="A218" s="2" t="n">
        <v>46087</v>
      </c>
      <c r="B218" s="3" t="s">
        <v>366</v>
      </c>
      <c r="C218" s="3" t="s">
        <v>122</v>
      </c>
      <c r="D218" s="3" t="s">
        <v>123</v>
      </c>
      <c r="E218" s="3" t="s">
        <v>76</v>
      </c>
      <c r="F218" s="3" t="s">
        <v>124</v>
      </c>
      <c r="G218" s="3" t="s">
        <v>86</v>
      </c>
      <c r="H218" s="3" t="s">
        <v>87</v>
      </c>
      <c r="I218" s="3" t="s">
        <v>88</v>
      </c>
      <c r="J218" s="3" t="s">
        <v>89</v>
      </c>
      <c r="K218" s="3" t="s">
        <v>115</v>
      </c>
      <c r="L218" s="3" t="s">
        <v>116</v>
      </c>
      <c r="M218" s="3" t="s">
        <v>92</v>
      </c>
      <c r="N218" s="3" t="s">
        <v>117</v>
      </c>
      <c r="O218" s="4" t="n">
        <v>258</v>
      </c>
      <c r="P218" s="3" t="s">
        <v>48</v>
      </c>
      <c r="Q218" s="5" t="n">
        <v>42300</v>
      </c>
      <c r="R218" s="6" t="n">
        <v>0.03</v>
      </c>
      <c r="S218" s="5" t="n">
        <f aca="false">O218*Q218</f>
        <v>10913400</v>
      </c>
      <c r="T218" s="5" t="n">
        <f aca="false">S218*R218</f>
        <v>327402</v>
      </c>
      <c r="U218" s="5" t="n">
        <f aca="false">S218-T218</f>
        <v>10585998</v>
      </c>
      <c r="V218" s="3" t="s">
        <v>81</v>
      </c>
    </row>
    <row r="219" customFormat="false" ht="15" hidden="false" customHeight="false" outlineLevel="0" collapsed="false">
      <c r="A219" s="2" t="n">
        <v>46087</v>
      </c>
      <c r="B219" s="3" t="s">
        <v>367</v>
      </c>
      <c r="C219" s="3" t="s">
        <v>165</v>
      </c>
      <c r="D219" s="3" t="s">
        <v>166</v>
      </c>
      <c r="E219" s="3" t="s">
        <v>76</v>
      </c>
      <c r="F219" s="3" t="s">
        <v>167</v>
      </c>
      <c r="G219" s="3" t="s">
        <v>86</v>
      </c>
      <c r="H219" s="3" t="s">
        <v>87</v>
      </c>
      <c r="I219" s="3" t="s">
        <v>88</v>
      </c>
      <c r="J219" s="3" t="s">
        <v>89</v>
      </c>
      <c r="K219" s="3" t="s">
        <v>128</v>
      </c>
      <c r="L219" s="3" t="s">
        <v>129</v>
      </c>
      <c r="M219" s="3" t="s">
        <v>130</v>
      </c>
      <c r="N219" s="3" t="s">
        <v>131</v>
      </c>
      <c r="O219" s="4" t="n">
        <v>202</v>
      </c>
      <c r="P219" s="3" t="s">
        <v>48</v>
      </c>
      <c r="Q219" s="5" t="n">
        <v>84500</v>
      </c>
      <c r="R219" s="6" t="n">
        <v>0.05</v>
      </c>
      <c r="S219" s="5" t="n">
        <f aca="false">O219*Q219</f>
        <v>17069000</v>
      </c>
      <c r="T219" s="5" t="n">
        <f aca="false">S219*R219</f>
        <v>853450</v>
      </c>
      <c r="U219" s="5" t="n">
        <f aca="false">S219-T219</f>
        <v>16215550</v>
      </c>
      <c r="V219" s="3" t="s">
        <v>81</v>
      </c>
    </row>
    <row r="220" customFormat="false" ht="15" hidden="false" customHeight="false" outlineLevel="0" collapsed="false">
      <c r="A220" s="2" t="n">
        <v>46087</v>
      </c>
      <c r="B220" s="3" t="s">
        <v>368</v>
      </c>
      <c r="C220" s="3" t="s">
        <v>101</v>
      </c>
      <c r="D220" s="3" t="s">
        <v>102</v>
      </c>
      <c r="E220" s="3" t="s">
        <v>25</v>
      </c>
      <c r="F220" s="3" t="s">
        <v>40</v>
      </c>
      <c r="G220" s="3" t="s">
        <v>27</v>
      </c>
      <c r="H220" s="3" t="s">
        <v>28</v>
      </c>
      <c r="I220" s="3" t="s">
        <v>29</v>
      </c>
      <c r="J220" s="3" t="s">
        <v>30</v>
      </c>
      <c r="K220" s="3" t="s">
        <v>56</v>
      </c>
      <c r="L220" s="3" t="s">
        <v>57</v>
      </c>
      <c r="M220" s="3" t="s">
        <v>58</v>
      </c>
      <c r="N220" s="3" t="s">
        <v>59</v>
      </c>
      <c r="O220" s="4" t="n">
        <v>174</v>
      </c>
      <c r="P220" s="3" t="s">
        <v>48</v>
      </c>
      <c r="Q220" s="5" t="n">
        <v>52800</v>
      </c>
      <c r="R220" s="6" t="n">
        <v>0.08</v>
      </c>
      <c r="S220" s="5" t="n">
        <f aca="false">O220*Q220</f>
        <v>9187200</v>
      </c>
      <c r="T220" s="5" t="n">
        <f aca="false">S220*R220</f>
        <v>734976</v>
      </c>
      <c r="U220" s="5" t="n">
        <f aca="false">S220-T220</f>
        <v>8452224</v>
      </c>
      <c r="V220" s="3" t="s">
        <v>35</v>
      </c>
    </row>
    <row r="221" customFormat="false" ht="15" hidden="false" customHeight="false" outlineLevel="0" collapsed="false">
      <c r="A221" s="2" t="n">
        <v>46087</v>
      </c>
      <c r="B221" s="3" t="s">
        <v>369</v>
      </c>
      <c r="C221" s="3" t="s">
        <v>83</v>
      </c>
      <c r="D221" s="3" t="s">
        <v>84</v>
      </c>
      <c r="E221" s="3" t="s">
        <v>76</v>
      </c>
      <c r="F221" s="3" t="s">
        <v>85</v>
      </c>
      <c r="G221" s="3" t="s">
        <v>86</v>
      </c>
      <c r="H221" s="3" t="s">
        <v>87</v>
      </c>
      <c r="I221" s="3" t="s">
        <v>88</v>
      </c>
      <c r="J221" s="3" t="s">
        <v>89</v>
      </c>
      <c r="K221" s="3" t="s">
        <v>56</v>
      </c>
      <c r="L221" s="3" t="s">
        <v>57</v>
      </c>
      <c r="M221" s="3" t="s">
        <v>58</v>
      </c>
      <c r="N221" s="3" t="s">
        <v>59</v>
      </c>
      <c r="O221" s="4" t="n">
        <v>159</v>
      </c>
      <c r="P221" s="3" t="s">
        <v>48</v>
      </c>
      <c r="Q221" s="5" t="n">
        <v>52800</v>
      </c>
      <c r="R221" s="6" t="n">
        <v>0.03</v>
      </c>
      <c r="S221" s="5" t="n">
        <f aca="false">O221*Q221</f>
        <v>8395200</v>
      </c>
      <c r="T221" s="5" t="n">
        <f aca="false">S221*R221</f>
        <v>251856</v>
      </c>
      <c r="U221" s="5" t="n">
        <f aca="false">S221-T221</f>
        <v>8143344</v>
      </c>
      <c r="V221" s="3" t="s">
        <v>81</v>
      </c>
    </row>
    <row r="222" customFormat="false" ht="15" hidden="false" customHeight="false" outlineLevel="0" collapsed="false">
      <c r="A222" s="2" t="n">
        <v>46088</v>
      </c>
      <c r="B222" s="3" t="s">
        <v>370</v>
      </c>
      <c r="C222" s="3" t="s">
        <v>37</v>
      </c>
      <c r="D222" s="3" t="s">
        <v>38</v>
      </c>
      <c r="E222" s="3" t="s">
        <v>39</v>
      </c>
      <c r="F222" s="3" t="s">
        <v>40</v>
      </c>
      <c r="G222" s="3" t="s">
        <v>39</v>
      </c>
      <c r="H222" s="3" t="s">
        <v>68</v>
      </c>
      <c r="I222" s="3" t="s">
        <v>69</v>
      </c>
      <c r="J222" s="3" t="s">
        <v>70</v>
      </c>
      <c r="K222" s="3" t="s">
        <v>31</v>
      </c>
      <c r="L222" s="3" t="s">
        <v>32</v>
      </c>
      <c r="M222" s="3" t="s">
        <v>33</v>
      </c>
      <c r="N222" s="3" t="s">
        <v>33</v>
      </c>
      <c r="O222" s="4" t="n">
        <v>196</v>
      </c>
      <c r="P222" s="3" t="s">
        <v>34</v>
      </c>
      <c r="Q222" s="5" t="n">
        <v>34200</v>
      </c>
      <c r="R222" s="6" t="n">
        <v>0.02</v>
      </c>
      <c r="S222" s="5" t="n">
        <f aca="false">O222*Q222</f>
        <v>6703200</v>
      </c>
      <c r="T222" s="5" t="n">
        <f aca="false">S222*R222</f>
        <v>134064</v>
      </c>
      <c r="U222" s="5" t="n">
        <f aca="false">S222-T222</f>
        <v>6569136</v>
      </c>
      <c r="V222" s="3" t="s">
        <v>39</v>
      </c>
    </row>
    <row r="223" customFormat="false" ht="15" hidden="false" customHeight="false" outlineLevel="0" collapsed="false">
      <c r="A223" s="2" t="n">
        <v>46088</v>
      </c>
      <c r="B223" s="3" t="s">
        <v>371</v>
      </c>
      <c r="C223" s="3" t="s">
        <v>23</v>
      </c>
      <c r="D223" s="3" t="s">
        <v>24</v>
      </c>
      <c r="E223" s="3" t="s">
        <v>25</v>
      </c>
      <c r="F223" s="3" t="s">
        <v>26</v>
      </c>
      <c r="G223" s="3" t="s">
        <v>27</v>
      </c>
      <c r="H223" s="3" t="s">
        <v>28</v>
      </c>
      <c r="I223" s="3" t="s">
        <v>29</v>
      </c>
      <c r="J223" s="3" t="s">
        <v>30</v>
      </c>
      <c r="K223" s="3" t="s">
        <v>64</v>
      </c>
      <c r="L223" s="3" t="s">
        <v>65</v>
      </c>
      <c r="M223" s="3" t="s">
        <v>33</v>
      </c>
      <c r="N223" s="3" t="s">
        <v>33</v>
      </c>
      <c r="O223" s="4" t="n">
        <v>78</v>
      </c>
      <c r="P223" s="3" t="s">
        <v>66</v>
      </c>
      <c r="Q223" s="5" t="n">
        <v>28500</v>
      </c>
      <c r="R223" s="6" t="n">
        <v>0.15</v>
      </c>
      <c r="S223" s="5" t="n">
        <f aca="false">O223*Q223</f>
        <v>2223000</v>
      </c>
      <c r="T223" s="5" t="n">
        <f aca="false">S223*R223</f>
        <v>333450</v>
      </c>
      <c r="U223" s="5" t="n">
        <f aca="false">S223-T223</f>
        <v>1889550</v>
      </c>
      <c r="V223" s="3" t="s">
        <v>35</v>
      </c>
    </row>
    <row r="224" customFormat="false" ht="15" hidden="false" customHeight="false" outlineLevel="0" collapsed="false">
      <c r="A224" s="2" t="n">
        <v>46088</v>
      </c>
      <c r="B224" s="3" t="s">
        <v>372</v>
      </c>
      <c r="C224" s="3" t="s">
        <v>23</v>
      </c>
      <c r="D224" s="3" t="s">
        <v>24</v>
      </c>
      <c r="E224" s="3" t="s">
        <v>25</v>
      </c>
      <c r="F224" s="3" t="s">
        <v>26</v>
      </c>
      <c r="G224" s="3" t="s">
        <v>27</v>
      </c>
      <c r="H224" s="3" t="s">
        <v>133</v>
      </c>
      <c r="I224" s="3" t="s">
        <v>134</v>
      </c>
      <c r="J224" s="3" t="s">
        <v>135</v>
      </c>
      <c r="K224" s="3" t="s">
        <v>115</v>
      </c>
      <c r="L224" s="3" t="s">
        <v>116</v>
      </c>
      <c r="M224" s="3" t="s">
        <v>92</v>
      </c>
      <c r="N224" s="3" t="s">
        <v>117</v>
      </c>
      <c r="O224" s="4" t="n">
        <v>197</v>
      </c>
      <c r="P224" s="3" t="s">
        <v>48</v>
      </c>
      <c r="Q224" s="5" t="n">
        <v>42300</v>
      </c>
      <c r="R224" s="6" t="n">
        <v>0.12</v>
      </c>
      <c r="S224" s="5" t="n">
        <f aca="false">O224*Q224</f>
        <v>8333100</v>
      </c>
      <c r="T224" s="5" t="n">
        <f aca="false">S224*R224</f>
        <v>999972</v>
      </c>
      <c r="U224" s="5" t="n">
        <f aca="false">S224-T224</f>
        <v>7333128</v>
      </c>
      <c r="V224" s="3" t="s">
        <v>35</v>
      </c>
    </row>
    <row r="225" customFormat="false" ht="15" hidden="false" customHeight="false" outlineLevel="0" collapsed="false">
      <c r="A225" s="2" t="n">
        <v>46088</v>
      </c>
      <c r="B225" s="3" t="s">
        <v>373</v>
      </c>
      <c r="C225" s="3" t="s">
        <v>101</v>
      </c>
      <c r="D225" s="3" t="s">
        <v>102</v>
      </c>
      <c r="E225" s="3" t="s">
        <v>25</v>
      </c>
      <c r="F225" s="3" t="s">
        <v>40</v>
      </c>
      <c r="G225" s="3" t="s">
        <v>27</v>
      </c>
      <c r="H225" s="3" t="s">
        <v>53</v>
      </c>
      <c r="I225" s="3" t="s">
        <v>54</v>
      </c>
      <c r="J225" s="3" t="s">
        <v>55</v>
      </c>
      <c r="K225" s="3" t="s">
        <v>192</v>
      </c>
      <c r="L225" s="3" t="s">
        <v>193</v>
      </c>
      <c r="M225" s="3" t="s">
        <v>46</v>
      </c>
      <c r="N225" s="3" t="s">
        <v>194</v>
      </c>
      <c r="O225" s="4" t="n">
        <v>92</v>
      </c>
      <c r="P225" s="3" t="s">
        <v>48</v>
      </c>
      <c r="Q225" s="5" t="n">
        <v>168000</v>
      </c>
      <c r="R225" s="6" t="n">
        <v>0.1</v>
      </c>
      <c r="S225" s="5" t="n">
        <f aca="false">O225*Q225</f>
        <v>15456000</v>
      </c>
      <c r="T225" s="5" t="n">
        <f aca="false">S225*R225</f>
        <v>1545600</v>
      </c>
      <c r="U225" s="5" t="n">
        <f aca="false">S225-T225</f>
        <v>13910400</v>
      </c>
      <c r="V225" s="3" t="s">
        <v>35</v>
      </c>
    </row>
    <row r="226" customFormat="false" ht="15" hidden="false" customHeight="false" outlineLevel="0" collapsed="false">
      <c r="A226" s="2" t="n">
        <v>46088</v>
      </c>
      <c r="B226" s="3" t="s">
        <v>374</v>
      </c>
      <c r="C226" s="3" t="s">
        <v>23</v>
      </c>
      <c r="D226" s="3" t="s">
        <v>24</v>
      </c>
      <c r="E226" s="3" t="s">
        <v>25</v>
      </c>
      <c r="F226" s="3" t="s">
        <v>26</v>
      </c>
      <c r="G226" s="3" t="s">
        <v>27</v>
      </c>
      <c r="H226" s="3" t="s">
        <v>53</v>
      </c>
      <c r="I226" s="3" t="s">
        <v>54</v>
      </c>
      <c r="J226" s="3" t="s">
        <v>55</v>
      </c>
      <c r="K226" s="3" t="s">
        <v>162</v>
      </c>
      <c r="L226" s="3" t="s">
        <v>163</v>
      </c>
      <c r="M226" s="3" t="s">
        <v>58</v>
      </c>
      <c r="N226" s="3" t="s">
        <v>59</v>
      </c>
      <c r="O226" s="4" t="n">
        <v>111</v>
      </c>
      <c r="P226" s="3" t="s">
        <v>48</v>
      </c>
      <c r="Q226" s="5" t="n">
        <v>48500</v>
      </c>
      <c r="R226" s="6" t="n">
        <v>0.15</v>
      </c>
      <c r="S226" s="5" t="n">
        <f aca="false">O226*Q226</f>
        <v>5383500</v>
      </c>
      <c r="T226" s="5" t="n">
        <f aca="false">S226*R226</f>
        <v>807525</v>
      </c>
      <c r="U226" s="5" t="n">
        <f aca="false">S226-T226</f>
        <v>4575975</v>
      </c>
      <c r="V226" s="3" t="s">
        <v>35</v>
      </c>
    </row>
    <row r="227" customFormat="false" ht="15" hidden="false" customHeight="false" outlineLevel="0" collapsed="false">
      <c r="A227" s="2" t="n">
        <v>46088</v>
      </c>
      <c r="B227" s="3" t="s">
        <v>375</v>
      </c>
      <c r="C227" s="3" t="s">
        <v>23</v>
      </c>
      <c r="D227" s="3" t="s">
        <v>24</v>
      </c>
      <c r="E227" s="3" t="s">
        <v>25</v>
      </c>
      <c r="F227" s="3" t="s">
        <v>26</v>
      </c>
      <c r="G227" s="3" t="s">
        <v>27</v>
      </c>
      <c r="H227" s="3" t="s">
        <v>28</v>
      </c>
      <c r="I227" s="3" t="s">
        <v>29</v>
      </c>
      <c r="J227" s="3" t="s">
        <v>30</v>
      </c>
      <c r="K227" s="3" t="s">
        <v>90</v>
      </c>
      <c r="L227" s="3" t="s">
        <v>91</v>
      </c>
      <c r="M227" s="3" t="s">
        <v>92</v>
      </c>
      <c r="N227" s="3" t="s">
        <v>59</v>
      </c>
      <c r="O227" s="4" t="n">
        <v>82</v>
      </c>
      <c r="P227" s="3" t="s">
        <v>48</v>
      </c>
      <c r="Q227" s="5" t="n">
        <v>96500</v>
      </c>
      <c r="R227" s="6" t="n">
        <v>0.1</v>
      </c>
      <c r="S227" s="5" t="n">
        <f aca="false">O227*Q227</f>
        <v>7913000</v>
      </c>
      <c r="T227" s="5" t="n">
        <f aca="false">S227*R227</f>
        <v>791300</v>
      </c>
      <c r="U227" s="5" t="n">
        <f aca="false">S227-T227</f>
        <v>7121700</v>
      </c>
      <c r="V227" s="3" t="s">
        <v>35</v>
      </c>
    </row>
    <row r="228" customFormat="false" ht="15" hidden="false" customHeight="false" outlineLevel="0" collapsed="false">
      <c r="A228" s="2" t="n">
        <v>46089</v>
      </c>
      <c r="B228" s="3" t="s">
        <v>376</v>
      </c>
      <c r="C228" s="3" t="s">
        <v>173</v>
      </c>
      <c r="D228" s="3" t="s">
        <v>174</v>
      </c>
      <c r="E228" s="3" t="s">
        <v>76</v>
      </c>
      <c r="F228" s="3" t="s">
        <v>40</v>
      </c>
      <c r="G228" s="3" t="s">
        <v>97</v>
      </c>
      <c r="H228" s="3" t="s">
        <v>41</v>
      </c>
      <c r="I228" s="3" t="s">
        <v>42</v>
      </c>
      <c r="J228" s="3" t="s">
        <v>43</v>
      </c>
      <c r="K228" s="3" t="s">
        <v>148</v>
      </c>
      <c r="L228" s="3" t="s">
        <v>149</v>
      </c>
      <c r="M228" s="3" t="s">
        <v>130</v>
      </c>
      <c r="N228" s="3" t="s">
        <v>131</v>
      </c>
      <c r="O228" s="4" t="n">
        <v>627</v>
      </c>
      <c r="P228" s="3" t="s">
        <v>48</v>
      </c>
      <c r="Q228" s="5" t="n">
        <v>78900</v>
      </c>
      <c r="R228" s="6" t="n">
        <v>0.08</v>
      </c>
      <c r="S228" s="5" t="n">
        <f aca="false">O228*Q228</f>
        <v>49470300</v>
      </c>
      <c r="T228" s="5" t="n">
        <f aca="false">S228*R228</f>
        <v>3957624</v>
      </c>
      <c r="U228" s="5" t="n">
        <f aca="false">S228-T228</f>
        <v>45512676</v>
      </c>
      <c r="V228" s="3" t="s">
        <v>81</v>
      </c>
    </row>
    <row r="229" customFormat="false" ht="15" hidden="false" customHeight="false" outlineLevel="0" collapsed="false">
      <c r="A229" s="2" t="n">
        <v>46089</v>
      </c>
      <c r="B229" s="3" t="s">
        <v>377</v>
      </c>
      <c r="C229" s="3" t="s">
        <v>137</v>
      </c>
      <c r="D229" s="3" t="s">
        <v>138</v>
      </c>
      <c r="E229" s="3" t="s">
        <v>76</v>
      </c>
      <c r="F229" s="3" t="s">
        <v>40</v>
      </c>
      <c r="G229" s="3" t="s">
        <v>77</v>
      </c>
      <c r="H229" s="3" t="s">
        <v>78</v>
      </c>
      <c r="I229" s="3" t="s">
        <v>79</v>
      </c>
      <c r="J229" s="3" t="s">
        <v>80</v>
      </c>
      <c r="K229" s="3" t="s">
        <v>115</v>
      </c>
      <c r="L229" s="3" t="s">
        <v>116</v>
      </c>
      <c r="M229" s="3" t="s">
        <v>92</v>
      </c>
      <c r="N229" s="3" t="s">
        <v>117</v>
      </c>
      <c r="O229" s="4" t="n">
        <v>475</v>
      </c>
      <c r="P229" s="3" t="s">
        <v>48</v>
      </c>
      <c r="Q229" s="5" t="n">
        <v>42300</v>
      </c>
      <c r="R229" s="6" t="n">
        <v>0.08</v>
      </c>
      <c r="S229" s="5" t="n">
        <f aca="false">O229*Q229</f>
        <v>20092500</v>
      </c>
      <c r="T229" s="5" t="n">
        <f aca="false">S229*R229</f>
        <v>1607400</v>
      </c>
      <c r="U229" s="5" t="n">
        <f aca="false">S229-T229</f>
        <v>18485100</v>
      </c>
      <c r="V229" s="3" t="s">
        <v>81</v>
      </c>
    </row>
    <row r="230" customFormat="false" ht="15" hidden="false" customHeight="false" outlineLevel="0" collapsed="false">
      <c r="A230" s="2" t="n">
        <v>46089</v>
      </c>
      <c r="B230" s="3" t="s">
        <v>378</v>
      </c>
      <c r="C230" s="3" t="s">
        <v>101</v>
      </c>
      <c r="D230" s="3" t="s">
        <v>102</v>
      </c>
      <c r="E230" s="3" t="s">
        <v>25</v>
      </c>
      <c r="F230" s="3" t="s">
        <v>40</v>
      </c>
      <c r="G230" s="3" t="s">
        <v>27</v>
      </c>
      <c r="H230" s="3" t="s">
        <v>53</v>
      </c>
      <c r="I230" s="3" t="s">
        <v>54</v>
      </c>
      <c r="J230" s="3" t="s">
        <v>55</v>
      </c>
      <c r="K230" s="3" t="s">
        <v>64</v>
      </c>
      <c r="L230" s="3" t="s">
        <v>65</v>
      </c>
      <c r="M230" s="3" t="s">
        <v>33</v>
      </c>
      <c r="N230" s="3" t="s">
        <v>33</v>
      </c>
      <c r="O230" s="4" t="n">
        <v>75</v>
      </c>
      <c r="P230" s="3" t="s">
        <v>66</v>
      </c>
      <c r="Q230" s="5" t="n">
        <v>28500</v>
      </c>
      <c r="R230" s="6" t="n">
        <v>0.15</v>
      </c>
      <c r="S230" s="5" t="n">
        <f aca="false">O230*Q230</f>
        <v>2137500</v>
      </c>
      <c r="T230" s="5" t="n">
        <f aca="false">S230*R230</f>
        <v>320625</v>
      </c>
      <c r="U230" s="5" t="n">
        <f aca="false">S230-T230</f>
        <v>1816875</v>
      </c>
      <c r="V230" s="3" t="s">
        <v>35</v>
      </c>
    </row>
    <row r="231" customFormat="false" ht="15" hidden="false" customHeight="false" outlineLevel="0" collapsed="false">
      <c r="A231" s="2" t="n">
        <v>46089</v>
      </c>
      <c r="B231" s="3" t="s">
        <v>379</v>
      </c>
      <c r="C231" s="3" t="s">
        <v>113</v>
      </c>
      <c r="D231" s="3" t="s">
        <v>114</v>
      </c>
      <c r="E231" s="3" t="s">
        <v>25</v>
      </c>
      <c r="F231" s="3" t="s">
        <v>85</v>
      </c>
      <c r="G231" s="3" t="s">
        <v>27</v>
      </c>
      <c r="H231" s="3" t="s">
        <v>28</v>
      </c>
      <c r="I231" s="3" t="s">
        <v>29</v>
      </c>
      <c r="J231" s="3" t="s">
        <v>30</v>
      </c>
      <c r="K231" s="3" t="s">
        <v>119</v>
      </c>
      <c r="L231" s="3" t="s">
        <v>120</v>
      </c>
      <c r="M231" s="3" t="s">
        <v>33</v>
      </c>
      <c r="N231" s="3" t="s">
        <v>33</v>
      </c>
      <c r="O231" s="4" t="n">
        <v>93</v>
      </c>
      <c r="P231" s="3" t="s">
        <v>34</v>
      </c>
      <c r="Q231" s="5" t="n">
        <v>18900</v>
      </c>
      <c r="R231" s="6" t="n">
        <v>0.12</v>
      </c>
      <c r="S231" s="5" t="n">
        <f aca="false">O231*Q231</f>
        <v>1757700</v>
      </c>
      <c r="T231" s="5" t="n">
        <f aca="false">S231*R231</f>
        <v>210924</v>
      </c>
      <c r="U231" s="5" t="n">
        <f aca="false">S231-T231</f>
        <v>1546776</v>
      </c>
      <c r="V231" s="3" t="s">
        <v>35</v>
      </c>
    </row>
    <row r="232" customFormat="false" ht="15" hidden="false" customHeight="false" outlineLevel="0" collapsed="false">
      <c r="A232" s="2" t="n">
        <v>46090</v>
      </c>
      <c r="B232" s="3" t="s">
        <v>380</v>
      </c>
      <c r="C232" s="3" t="s">
        <v>156</v>
      </c>
      <c r="D232" s="3" t="s">
        <v>157</v>
      </c>
      <c r="E232" s="3" t="s">
        <v>76</v>
      </c>
      <c r="F232" s="3" t="s">
        <v>40</v>
      </c>
      <c r="G232" s="3" t="s">
        <v>77</v>
      </c>
      <c r="H232" s="3" t="s">
        <v>78</v>
      </c>
      <c r="I232" s="3" t="s">
        <v>79</v>
      </c>
      <c r="J232" s="3" t="s">
        <v>80</v>
      </c>
      <c r="K232" s="3" t="s">
        <v>90</v>
      </c>
      <c r="L232" s="3" t="s">
        <v>91</v>
      </c>
      <c r="M232" s="3" t="s">
        <v>92</v>
      </c>
      <c r="N232" s="3" t="s">
        <v>59</v>
      </c>
      <c r="O232" s="4" t="n">
        <v>657</v>
      </c>
      <c r="P232" s="3" t="s">
        <v>48</v>
      </c>
      <c r="Q232" s="5" t="n">
        <v>96500</v>
      </c>
      <c r="R232" s="6" t="n">
        <v>0.1</v>
      </c>
      <c r="S232" s="5" t="n">
        <f aca="false">O232*Q232</f>
        <v>63400500</v>
      </c>
      <c r="T232" s="5" t="n">
        <f aca="false">S232*R232</f>
        <v>6340050</v>
      </c>
      <c r="U232" s="5" t="n">
        <f aca="false">S232-T232</f>
        <v>57060450</v>
      </c>
      <c r="V232" s="3" t="s">
        <v>81</v>
      </c>
    </row>
    <row r="233" customFormat="false" ht="15" hidden="false" customHeight="false" outlineLevel="0" collapsed="false">
      <c r="A233" s="2" t="n">
        <v>46090</v>
      </c>
      <c r="B233" s="3" t="s">
        <v>381</v>
      </c>
      <c r="C233" s="3" t="s">
        <v>37</v>
      </c>
      <c r="D233" s="3" t="s">
        <v>38</v>
      </c>
      <c r="E233" s="3" t="s">
        <v>39</v>
      </c>
      <c r="F233" s="3" t="s">
        <v>40</v>
      </c>
      <c r="G233" s="3" t="s">
        <v>39</v>
      </c>
      <c r="H233" s="3" t="s">
        <v>68</v>
      </c>
      <c r="I233" s="3" t="s">
        <v>69</v>
      </c>
      <c r="J233" s="3" t="s">
        <v>70</v>
      </c>
      <c r="K233" s="3" t="s">
        <v>56</v>
      </c>
      <c r="L233" s="3" t="s">
        <v>57</v>
      </c>
      <c r="M233" s="3" t="s">
        <v>58</v>
      </c>
      <c r="N233" s="3" t="s">
        <v>59</v>
      </c>
      <c r="O233" s="4" t="n">
        <v>103</v>
      </c>
      <c r="P233" s="3" t="s">
        <v>48</v>
      </c>
      <c r="Q233" s="5" t="n">
        <v>52800</v>
      </c>
      <c r="R233" s="6" t="n">
        <v>0.02</v>
      </c>
      <c r="S233" s="5" t="n">
        <f aca="false">O233*Q233</f>
        <v>5438400</v>
      </c>
      <c r="T233" s="5" t="n">
        <f aca="false">S233*R233</f>
        <v>108768</v>
      </c>
      <c r="U233" s="5" t="n">
        <f aca="false">S233-T233</f>
        <v>5329632</v>
      </c>
      <c r="V233" s="3" t="s">
        <v>39</v>
      </c>
    </row>
    <row r="234" customFormat="false" ht="15" hidden="false" customHeight="false" outlineLevel="0" collapsed="false">
      <c r="A234" s="2" t="n">
        <v>46091</v>
      </c>
      <c r="B234" s="3" t="s">
        <v>382</v>
      </c>
      <c r="C234" s="3" t="s">
        <v>113</v>
      </c>
      <c r="D234" s="3" t="s">
        <v>114</v>
      </c>
      <c r="E234" s="3" t="s">
        <v>25</v>
      </c>
      <c r="F234" s="3" t="s">
        <v>85</v>
      </c>
      <c r="G234" s="3" t="s">
        <v>27</v>
      </c>
      <c r="H234" s="3" t="s">
        <v>53</v>
      </c>
      <c r="I234" s="3" t="s">
        <v>54</v>
      </c>
      <c r="J234" s="3" t="s">
        <v>55</v>
      </c>
      <c r="K234" s="3" t="s">
        <v>128</v>
      </c>
      <c r="L234" s="3" t="s">
        <v>129</v>
      </c>
      <c r="M234" s="3" t="s">
        <v>130</v>
      </c>
      <c r="N234" s="3" t="s">
        <v>131</v>
      </c>
      <c r="O234" s="4" t="n">
        <v>123</v>
      </c>
      <c r="P234" s="3" t="s">
        <v>48</v>
      </c>
      <c r="Q234" s="5" t="n">
        <v>84500</v>
      </c>
      <c r="R234" s="6" t="n">
        <v>0.1</v>
      </c>
      <c r="S234" s="5" t="n">
        <f aca="false">O234*Q234</f>
        <v>10393500</v>
      </c>
      <c r="T234" s="5" t="n">
        <f aca="false">S234*R234</f>
        <v>1039350</v>
      </c>
      <c r="U234" s="5" t="n">
        <f aca="false">S234-T234</f>
        <v>9354150</v>
      </c>
      <c r="V234" s="3" t="s">
        <v>35</v>
      </c>
    </row>
    <row r="235" customFormat="false" ht="15" hidden="false" customHeight="false" outlineLevel="0" collapsed="false">
      <c r="A235" s="2" t="n">
        <v>46091</v>
      </c>
      <c r="B235" s="3" t="s">
        <v>383</v>
      </c>
      <c r="C235" s="3" t="s">
        <v>74</v>
      </c>
      <c r="D235" s="3" t="s">
        <v>75</v>
      </c>
      <c r="E235" s="3" t="s">
        <v>76</v>
      </c>
      <c r="F235" s="3" t="s">
        <v>26</v>
      </c>
      <c r="G235" s="3" t="s">
        <v>77</v>
      </c>
      <c r="H235" s="3" t="s">
        <v>78</v>
      </c>
      <c r="I235" s="3" t="s">
        <v>79</v>
      </c>
      <c r="J235" s="3" t="s">
        <v>80</v>
      </c>
      <c r="K235" s="3" t="s">
        <v>162</v>
      </c>
      <c r="L235" s="3" t="s">
        <v>163</v>
      </c>
      <c r="M235" s="3" t="s">
        <v>58</v>
      </c>
      <c r="N235" s="3" t="s">
        <v>59</v>
      </c>
      <c r="O235" s="4" t="n">
        <v>352</v>
      </c>
      <c r="P235" s="3" t="s">
        <v>48</v>
      </c>
      <c r="Q235" s="5" t="n">
        <v>48500</v>
      </c>
      <c r="R235" s="6" t="n">
        <v>0.08</v>
      </c>
      <c r="S235" s="5" t="n">
        <f aca="false">O235*Q235</f>
        <v>17072000</v>
      </c>
      <c r="T235" s="5" t="n">
        <f aca="false">S235*R235</f>
        <v>1365760</v>
      </c>
      <c r="U235" s="5" t="n">
        <f aca="false">S235-T235</f>
        <v>15706240</v>
      </c>
      <c r="V235" s="3" t="s">
        <v>81</v>
      </c>
    </row>
    <row r="236" customFormat="false" ht="15" hidden="false" customHeight="false" outlineLevel="0" collapsed="false">
      <c r="A236" s="2" t="n">
        <v>46091</v>
      </c>
      <c r="B236" s="3" t="s">
        <v>384</v>
      </c>
      <c r="C236" s="3" t="s">
        <v>230</v>
      </c>
      <c r="D236" s="3" t="s">
        <v>231</v>
      </c>
      <c r="E236" s="3" t="s">
        <v>76</v>
      </c>
      <c r="F236" s="3" t="s">
        <v>232</v>
      </c>
      <c r="G236" s="3" t="s">
        <v>86</v>
      </c>
      <c r="H236" s="3" t="s">
        <v>87</v>
      </c>
      <c r="I236" s="3" t="s">
        <v>88</v>
      </c>
      <c r="J236" s="3" t="s">
        <v>89</v>
      </c>
      <c r="K236" s="3" t="s">
        <v>192</v>
      </c>
      <c r="L236" s="3" t="s">
        <v>193</v>
      </c>
      <c r="M236" s="3" t="s">
        <v>46</v>
      </c>
      <c r="N236" s="3" t="s">
        <v>194</v>
      </c>
      <c r="O236" s="4" t="n">
        <v>135</v>
      </c>
      <c r="P236" s="3" t="s">
        <v>48</v>
      </c>
      <c r="Q236" s="5" t="n">
        <v>168000</v>
      </c>
      <c r="R236" s="6" t="n">
        <v>0.03</v>
      </c>
      <c r="S236" s="5" t="n">
        <f aca="false">O236*Q236</f>
        <v>22680000</v>
      </c>
      <c r="T236" s="5" t="n">
        <f aca="false">S236*R236</f>
        <v>680400</v>
      </c>
      <c r="U236" s="5" t="n">
        <f aca="false">S236-T236</f>
        <v>21999600</v>
      </c>
      <c r="V236" s="3" t="s">
        <v>81</v>
      </c>
    </row>
    <row r="237" customFormat="false" ht="15" hidden="false" customHeight="false" outlineLevel="0" collapsed="false">
      <c r="A237" s="2" t="n">
        <v>46092</v>
      </c>
      <c r="B237" s="3" t="s">
        <v>385</v>
      </c>
      <c r="C237" s="3" t="s">
        <v>113</v>
      </c>
      <c r="D237" s="3" t="s">
        <v>114</v>
      </c>
      <c r="E237" s="3" t="s">
        <v>25</v>
      </c>
      <c r="F237" s="3" t="s">
        <v>85</v>
      </c>
      <c r="G237" s="3" t="s">
        <v>27</v>
      </c>
      <c r="H237" s="3" t="s">
        <v>133</v>
      </c>
      <c r="I237" s="3" t="s">
        <v>134</v>
      </c>
      <c r="J237" s="3" t="s">
        <v>135</v>
      </c>
      <c r="K237" s="3" t="s">
        <v>56</v>
      </c>
      <c r="L237" s="3" t="s">
        <v>57</v>
      </c>
      <c r="M237" s="3" t="s">
        <v>58</v>
      </c>
      <c r="N237" s="3" t="s">
        <v>59</v>
      </c>
      <c r="O237" s="4" t="n">
        <v>84</v>
      </c>
      <c r="P237" s="3" t="s">
        <v>48</v>
      </c>
      <c r="Q237" s="5" t="n">
        <v>52800</v>
      </c>
      <c r="R237" s="6" t="n">
        <v>0.08</v>
      </c>
      <c r="S237" s="5" t="n">
        <f aca="false">O237*Q237</f>
        <v>4435200</v>
      </c>
      <c r="T237" s="5" t="n">
        <f aca="false">S237*R237</f>
        <v>354816</v>
      </c>
      <c r="U237" s="5" t="n">
        <f aca="false">S237-T237</f>
        <v>4080384</v>
      </c>
      <c r="V237" s="3" t="s">
        <v>35</v>
      </c>
    </row>
    <row r="238" customFormat="false" ht="15" hidden="false" customHeight="false" outlineLevel="0" collapsed="false">
      <c r="A238" s="2" t="n">
        <v>46092</v>
      </c>
      <c r="B238" s="3" t="s">
        <v>386</v>
      </c>
      <c r="C238" s="3" t="s">
        <v>74</v>
      </c>
      <c r="D238" s="3" t="s">
        <v>75</v>
      </c>
      <c r="E238" s="3" t="s">
        <v>76</v>
      </c>
      <c r="F238" s="3" t="s">
        <v>26</v>
      </c>
      <c r="G238" s="3" t="s">
        <v>77</v>
      </c>
      <c r="H238" s="3" t="s">
        <v>78</v>
      </c>
      <c r="I238" s="3" t="s">
        <v>79</v>
      </c>
      <c r="J238" s="3" t="s">
        <v>80</v>
      </c>
      <c r="K238" s="3" t="s">
        <v>128</v>
      </c>
      <c r="L238" s="3" t="s">
        <v>129</v>
      </c>
      <c r="M238" s="3" t="s">
        <v>130</v>
      </c>
      <c r="N238" s="3" t="s">
        <v>131</v>
      </c>
      <c r="O238" s="4" t="n">
        <v>131</v>
      </c>
      <c r="P238" s="3" t="s">
        <v>48</v>
      </c>
      <c r="Q238" s="5" t="n">
        <v>84500</v>
      </c>
      <c r="R238" s="6" t="n">
        <v>0.03</v>
      </c>
      <c r="S238" s="5" t="n">
        <f aca="false">O238*Q238</f>
        <v>11069500</v>
      </c>
      <c r="T238" s="5" t="n">
        <f aca="false">S238*R238</f>
        <v>332085</v>
      </c>
      <c r="U238" s="5" t="n">
        <f aca="false">S238-T238</f>
        <v>10737415</v>
      </c>
      <c r="V238" s="3" t="s">
        <v>81</v>
      </c>
    </row>
    <row r="239" customFormat="false" ht="15" hidden="false" customHeight="false" outlineLevel="0" collapsed="false">
      <c r="A239" s="2" t="n">
        <v>46093</v>
      </c>
      <c r="B239" s="3" t="s">
        <v>387</v>
      </c>
      <c r="C239" s="3" t="s">
        <v>156</v>
      </c>
      <c r="D239" s="3" t="s">
        <v>157</v>
      </c>
      <c r="E239" s="3" t="s">
        <v>76</v>
      </c>
      <c r="F239" s="3" t="s">
        <v>40</v>
      </c>
      <c r="G239" s="3" t="s">
        <v>77</v>
      </c>
      <c r="H239" s="3" t="s">
        <v>78</v>
      </c>
      <c r="I239" s="3" t="s">
        <v>79</v>
      </c>
      <c r="J239" s="3" t="s">
        <v>80</v>
      </c>
      <c r="K239" s="3" t="s">
        <v>115</v>
      </c>
      <c r="L239" s="3" t="s">
        <v>116</v>
      </c>
      <c r="M239" s="3" t="s">
        <v>92</v>
      </c>
      <c r="N239" s="3" t="s">
        <v>117</v>
      </c>
      <c r="O239" s="4" t="n">
        <v>596</v>
      </c>
      <c r="P239" s="3" t="s">
        <v>48</v>
      </c>
      <c r="Q239" s="5" t="n">
        <v>42300</v>
      </c>
      <c r="R239" s="6" t="n">
        <v>0.1</v>
      </c>
      <c r="S239" s="5" t="n">
        <f aca="false">O239*Q239</f>
        <v>25210800</v>
      </c>
      <c r="T239" s="5" t="n">
        <f aca="false">S239*R239</f>
        <v>2521080</v>
      </c>
      <c r="U239" s="5" t="n">
        <f aca="false">S239-T239</f>
        <v>22689720</v>
      </c>
      <c r="V239" s="3" t="s">
        <v>81</v>
      </c>
    </row>
    <row r="240" customFormat="false" ht="15" hidden="false" customHeight="false" outlineLevel="0" collapsed="false">
      <c r="A240" s="2" t="n">
        <v>46095</v>
      </c>
      <c r="B240" s="3" t="s">
        <v>388</v>
      </c>
      <c r="C240" s="3" t="s">
        <v>113</v>
      </c>
      <c r="D240" s="3" t="s">
        <v>114</v>
      </c>
      <c r="E240" s="3" t="s">
        <v>25</v>
      </c>
      <c r="F240" s="3" t="s">
        <v>85</v>
      </c>
      <c r="G240" s="3" t="s">
        <v>27</v>
      </c>
      <c r="H240" s="3" t="s">
        <v>133</v>
      </c>
      <c r="I240" s="3" t="s">
        <v>134</v>
      </c>
      <c r="J240" s="3" t="s">
        <v>135</v>
      </c>
      <c r="K240" s="3" t="s">
        <v>148</v>
      </c>
      <c r="L240" s="3" t="s">
        <v>149</v>
      </c>
      <c r="M240" s="3" t="s">
        <v>130</v>
      </c>
      <c r="N240" s="3" t="s">
        <v>131</v>
      </c>
      <c r="O240" s="4" t="n">
        <v>218</v>
      </c>
      <c r="P240" s="3" t="s">
        <v>48</v>
      </c>
      <c r="Q240" s="5" t="n">
        <v>78900</v>
      </c>
      <c r="R240" s="6" t="n">
        <v>0.12</v>
      </c>
      <c r="S240" s="5" t="n">
        <f aca="false">O240*Q240</f>
        <v>17200200</v>
      </c>
      <c r="T240" s="5" t="n">
        <f aca="false">S240*R240</f>
        <v>2064024</v>
      </c>
      <c r="U240" s="5" t="n">
        <f aca="false">S240-T240</f>
        <v>15136176</v>
      </c>
      <c r="V240" s="3" t="s">
        <v>35</v>
      </c>
    </row>
    <row r="241" customFormat="false" ht="15" hidden="false" customHeight="false" outlineLevel="0" collapsed="false">
      <c r="A241" s="2" t="n">
        <v>46095</v>
      </c>
      <c r="B241" s="3" t="s">
        <v>389</v>
      </c>
      <c r="C241" s="3" t="s">
        <v>23</v>
      </c>
      <c r="D241" s="3" t="s">
        <v>24</v>
      </c>
      <c r="E241" s="3" t="s">
        <v>25</v>
      </c>
      <c r="F241" s="3" t="s">
        <v>26</v>
      </c>
      <c r="G241" s="3" t="s">
        <v>27</v>
      </c>
      <c r="H241" s="3" t="s">
        <v>53</v>
      </c>
      <c r="I241" s="3" t="s">
        <v>54</v>
      </c>
      <c r="J241" s="3" t="s">
        <v>55</v>
      </c>
      <c r="K241" s="3" t="s">
        <v>71</v>
      </c>
      <c r="L241" s="3" t="s">
        <v>72</v>
      </c>
      <c r="M241" s="3" t="s">
        <v>46</v>
      </c>
      <c r="N241" s="3" t="s">
        <v>47</v>
      </c>
      <c r="O241" s="4" t="n">
        <v>52</v>
      </c>
      <c r="P241" s="3" t="s">
        <v>48</v>
      </c>
      <c r="Q241" s="5" t="n">
        <v>156000</v>
      </c>
      <c r="R241" s="6" t="n">
        <v>0.1</v>
      </c>
      <c r="S241" s="5" t="n">
        <f aca="false">O241*Q241</f>
        <v>8112000</v>
      </c>
      <c r="T241" s="5" t="n">
        <f aca="false">S241*R241</f>
        <v>811200</v>
      </c>
      <c r="U241" s="5" t="n">
        <f aca="false">S241-T241</f>
        <v>7300800</v>
      </c>
      <c r="V241" s="3" t="s">
        <v>35</v>
      </c>
    </row>
    <row r="242" customFormat="false" ht="15" hidden="false" customHeight="false" outlineLevel="0" collapsed="false">
      <c r="A242" s="2" t="n">
        <v>46095</v>
      </c>
      <c r="B242" s="3" t="s">
        <v>390</v>
      </c>
      <c r="C242" s="3" t="s">
        <v>23</v>
      </c>
      <c r="D242" s="3" t="s">
        <v>24</v>
      </c>
      <c r="E242" s="3" t="s">
        <v>25</v>
      </c>
      <c r="F242" s="3" t="s">
        <v>26</v>
      </c>
      <c r="G242" s="3" t="s">
        <v>27</v>
      </c>
      <c r="H242" s="3" t="s">
        <v>133</v>
      </c>
      <c r="I242" s="3" t="s">
        <v>134</v>
      </c>
      <c r="J242" s="3" t="s">
        <v>135</v>
      </c>
      <c r="K242" s="3" t="s">
        <v>162</v>
      </c>
      <c r="L242" s="3" t="s">
        <v>163</v>
      </c>
      <c r="M242" s="3" t="s">
        <v>58</v>
      </c>
      <c r="N242" s="3" t="s">
        <v>59</v>
      </c>
      <c r="O242" s="4" t="n">
        <v>71</v>
      </c>
      <c r="P242" s="3" t="s">
        <v>48</v>
      </c>
      <c r="Q242" s="5" t="n">
        <v>48500</v>
      </c>
      <c r="R242" s="6" t="n">
        <v>0.1</v>
      </c>
      <c r="S242" s="5" t="n">
        <f aca="false">O242*Q242</f>
        <v>3443500</v>
      </c>
      <c r="T242" s="5" t="n">
        <f aca="false">S242*R242</f>
        <v>344350</v>
      </c>
      <c r="U242" s="5" t="n">
        <f aca="false">S242-T242</f>
        <v>3099150</v>
      </c>
      <c r="V242" s="3" t="s">
        <v>35</v>
      </c>
    </row>
    <row r="243" customFormat="false" ht="15" hidden="false" customHeight="false" outlineLevel="0" collapsed="false">
      <c r="A243" s="2" t="n">
        <v>46095</v>
      </c>
      <c r="B243" s="3" t="s">
        <v>391</v>
      </c>
      <c r="C243" s="3" t="s">
        <v>122</v>
      </c>
      <c r="D243" s="3" t="s">
        <v>123</v>
      </c>
      <c r="E243" s="3" t="s">
        <v>76</v>
      </c>
      <c r="F243" s="3" t="s">
        <v>124</v>
      </c>
      <c r="G243" s="3" t="s">
        <v>86</v>
      </c>
      <c r="H243" s="3" t="s">
        <v>87</v>
      </c>
      <c r="I243" s="3" t="s">
        <v>88</v>
      </c>
      <c r="J243" s="3" t="s">
        <v>89</v>
      </c>
      <c r="K243" s="3" t="s">
        <v>56</v>
      </c>
      <c r="L243" s="3" t="s">
        <v>57</v>
      </c>
      <c r="M243" s="3" t="s">
        <v>58</v>
      </c>
      <c r="N243" s="3" t="s">
        <v>59</v>
      </c>
      <c r="O243" s="4" t="n">
        <v>174</v>
      </c>
      <c r="P243" s="3" t="s">
        <v>48</v>
      </c>
      <c r="Q243" s="5" t="n">
        <v>52800</v>
      </c>
      <c r="R243" s="6" t="n">
        <v>0.03</v>
      </c>
      <c r="S243" s="5" t="n">
        <f aca="false">O243*Q243</f>
        <v>9187200</v>
      </c>
      <c r="T243" s="5" t="n">
        <f aca="false">S243*R243</f>
        <v>275616</v>
      </c>
      <c r="U243" s="5" t="n">
        <f aca="false">S243-T243</f>
        <v>8911584</v>
      </c>
      <c r="V243" s="3" t="s">
        <v>81</v>
      </c>
    </row>
    <row r="244" customFormat="false" ht="15" hidden="false" customHeight="false" outlineLevel="0" collapsed="false">
      <c r="A244" s="2" t="n">
        <v>46095</v>
      </c>
      <c r="B244" s="3" t="s">
        <v>392</v>
      </c>
      <c r="C244" s="3" t="s">
        <v>137</v>
      </c>
      <c r="D244" s="3" t="s">
        <v>138</v>
      </c>
      <c r="E244" s="3" t="s">
        <v>76</v>
      </c>
      <c r="F244" s="3" t="s">
        <v>40</v>
      </c>
      <c r="G244" s="3" t="s">
        <v>77</v>
      </c>
      <c r="H244" s="3" t="s">
        <v>78</v>
      </c>
      <c r="I244" s="3" t="s">
        <v>79</v>
      </c>
      <c r="J244" s="3" t="s">
        <v>80</v>
      </c>
      <c r="K244" s="3" t="s">
        <v>144</v>
      </c>
      <c r="L244" s="3" t="s">
        <v>145</v>
      </c>
      <c r="M244" s="3" t="s">
        <v>146</v>
      </c>
      <c r="N244" s="3" t="s">
        <v>111</v>
      </c>
      <c r="O244" s="4" t="n">
        <v>479</v>
      </c>
      <c r="P244" s="3" t="s">
        <v>48</v>
      </c>
      <c r="Q244" s="5" t="n">
        <v>89000</v>
      </c>
      <c r="R244" s="6" t="n">
        <v>0.08</v>
      </c>
      <c r="S244" s="5" t="n">
        <f aca="false">O244*Q244</f>
        <v>42631000</v>
      </c>
      <c r="T244" s="5" t="n">
        <f aca="false">S244*R244</f>
        <v>3410480</v>
      </c>
      <c r="U244" s="5" t="n">
        <f aca="false">S244-T244</f>
        <v>39220520</v>
      </c>
      <c r="V244" s="3" t="s">
        <v>81</v>
      </c>
    </row>
    <row r="245" customFormat="false" ht="15" hidden="false" customHeight="false" outlineLevel="0" collapsed="false">
      <c r="A245" s="2" t="n">
        <v>46095</v>
      </c>
      <c r="B245" s="3" t="s">
        <v>393</v>
      </c>
      <c r="C245" s="3" t="s">
        <v>37</v>
      </c>
      <c r="D245" s="3" t="s">
        <v>38</v>
      </c>
      <c r="E245" s="3" t="s">
        <v>39</v>
      </c>
      <c r="F245" s="3" t="s">
        <v>40</v>
      </c>
      <c r="G245" s="3" t="s">
        <v>39</v>
      </c>
      <c r="H245" s="3" t="s">
        <v>41</v>
      </c>
      <c r="I245" s="3" t="s">
        <v>42</v>
      </c>
      <c r="J245" s="3" t="s">
        <v>43</v>
      </c>
      <c r="K245" s="3" t="s">
        <v>162</v>
      </c>
      <c r="L245" s="3" t="s">
        <v>163</v>
      </c>
      <c r="M245" s="3" t="s">
        <v>58</v>
      </c>
      <c r="N245" s="3" t="s">
        <v>59</v>
      </c>
      <c r="O245" s="4" t="n">
        <v>118</v>
      </c>
      <c r="P245" s="3" t="s">
        <v>48</v>
      </c>
      <c r="Q245" s="5" t="n">
        <v>48500</v>
      </c>
      <c r="R245" s="6" t="n">
        <v>0.03</v>
      </c>
      <c r="S245" s="5" t="n">
        <f aca="false">O245*Q245</f>
        <v>5723000</v>
      </c>
      <c r="T245" s="5" t="n">
        <f aca="false">S245*R245</f>
        <v>171690</v>
      </c>
      <c r="U245" s="5" t="n">
        <f aca="false">S245-T245</f>
        <v>5551310</v>
      </c>
      <c r="V245" s="3" t="s">
        <v>39</v>
      </c>
    </row>
    <row r="246" customFormat="false" ht="15" hidden="false" customHeight="false" outlineLevel="0" collapsed="false">
      <c r="A246" s="2" t="n">
        <v>46095</v>
      </c>
      <c r="B246" s="3" t="s">
        <v>394</v>
      </c>
      <c r="C246" s="3" t="s">
        <v>173</v>
      </c>
      <c r="D246" s="3" t="s">
        <v>174</v>
      </c>
      <c r="E246" s="3" t="s">
        <v>76</v>
      </c>
      <c r="F246" s="3" t="s">
        <v>40</v>
      </c>
      <c r="G246" s="3" t="s">
        <v>97</v>
      </c>
      <c r="H246" s="3" t="s">
        <v>41</v>
      </c>
      <c r="I246" s="3" t="s">
        <v>42</v>
      </c>
      <c r="J246" s="3" t="s">
        <v>43</v>
      </c>
      <c r="K246" s="3" t="s">
        <v>128</v>
      </c>
      <c r="L246" s="3" t="s">
        <v>129</v>
      </c>
      <c r="M246" s="3" t="s">
        <v>130</v>
      </c>
      <c r="N246" s="3" t="s">
        <v>131</v>
      </c>
      <c r="O246" s="4" t="n">
        <v>470</v>
      </c>
      <c r="P246" s="3" t="s">
        <v>48</v>
      </c>
      <c r="Q246" s="5" t="n">
        <v>84500</v>
      </c>
      <c r="R246" s="6" t="n">
        <v>0.1</v>
      </c>
      <c r="S246" s="5" t="n">
        <f aca="false">O246*Q246</f>
        <v>39715000</v>
      </c>
      <c r="T246" s="5" t="n">
        <f aca="false">S246*R246</f>
        <v>3971500</v>
      </c>
      <c r="U246" s="5" t="n">
        <f aca="false">S246-T246</f>
        <v>35743500</v>
      </c>
      <c r="V246" s="3" t="s">
        <v>81</v>
      </c>
    </row>
    <row r="247" customFormat="false" ht="15" hidden="false" customHeight="false" outlineLevel="0" collapsed="false">
      <c r="A247" s="2" t="n">
        <v>46096</v>
      </c>
      <c r="B247" s="3" t="s">
        <v>395</v>
      </c>
      <c r="C247" s="3" t="s">
        <v>156</v>
      </c>
      <c r="D247" s="3" t="s">
        <v>157</v>
      </c>
      <c r="E247" s="3" t="s">
        <v>76</v>
      </c>
      <c r="F247" s="3" t="s">
        <v>40</v>
      </c>
      <c r="G247" s="3" t="s">
        <v>77</v>
      </c>
      <c r="H247" s="3" t="s">
        <v>78</v>
      </c>
      <c r="I247" s="3" t="s">
        <v>79</v>
      </c>
      <c r="J247" s="3" t="s">
        <v>80</v>
      </c>
      <c r="K247" s="3" t="s">
        <v>148</v>
      </c>
      <c r="L247" s="3" t="s">
        <v>149</v>
      </c>
      <c r="M247" s="3" t="s">
        <v>130</v>
      </c>
      <c r="N247" s="3" t="s">
        <v>131</v>
      </c>
      <c r="O247" s="4" t="n">
        <v>200</v>
      </c>
      <c r="P247" s="3" t="s">
        <v>48</v>
      </c>
      <c r="Q247" s="5" t="n">
        <v>78900</v>
      </c>
      <c r="R247" s="6" t="n">
        <v>0.05</v>
      </c>
      <c r="S247" s="5" t="n">
        <f aca="false">O247*Q247</f>
        <v>15780000</v>
      </c>
      <c r="T247" s="5" t="n">
        <f aca="false">S247*R247</f>
        <v>789000</v>
      </c>
      <c r="U247" s="5" t="n">
        <f aca="false">S247-T247</f>
        <v>14991000</v>
      </c>
      <c r="V247" s="3" t="s">
        <v>81</v>
      </c>
    </row>
    <row r="248" customFormat="false" ht="15" hidden="false" customHeight="false" outlineLevel="0" collapsed="false">
      <c r="A248" s="2" t="n">
        <v>46096</v>
      </c>
      <c r="B248" s="3" t="s">
        <v>396</v>
      </c>
      <c r="C248" s="3" t="s">
        <v>61</v>
      </c>
      <c r="D248" s="3" t="s">
        <v>62</v>
      </c>
      <c r="E248" s="3" t="s">
        <v>25</v>
      </c>
      <c r="F248" s="3" t="s">
        <v>63</v>
      </c>
      <c r="G248" s="3" t="s">
        <v>27</v>
      </c>
      <c r="H248" s="3" t="s">
        <v>53</v>
      </c>
      <c r="I248" s="3" t="s">
        <v>54</v>
      </c>
      <c r="J248" s="3" t="s">
        <v>55</v>
      </c>
      <c r="K248" s="3" t="s">
        <v>56</v>
      </c>
      <c r="L248" s="3" t="s">
        <v>57</v>
      </c>
      <c r="M248" s="3" t="s">
        <v>58</v>
      </c>
      <c r="N248" s="3" t="s">
        <v>59</v>
      </c>
      <c r="O248" s="4" t="n">
        <v>150</v>
      </c>
      <c r="P248" s="3" t="s">
        <v>48</v>
      </c>
      <c r="Q248" s="5" t="n">
        <v>52800</v>
      </c>
      <c r="R248" s="6" t="n">
        <v>0.15</v>
      </c>
      <c r="S248" s="5" t="n">
        <f aca="false">O248*Q248</f>
        <v>7920000</v>
      </c>
      <c r="T248" s="5" t="n">
        <f aca="false">S248*R248</f>
        <v>1188000</v>
      </c>
      <c r="U248" s="5" t="n">
        <f aca="false">S248-T248</f>
        <v>6732000</v>
      </c>
      <c r="V248" s="3" t="s">
        <v>35</v>
      </c>
    </row>
    <row r="249" customFormat="false" ht="15" hidden="false" customHeight="false" outlineLevel="0" collapsed="false">
      <c r="A249" s="2" t="n">
        <v>46096</v>
      </c>
      <c r="B249" s="3" t="s">
        <v>397</v>
      </c>
      <c r="C249" s="3" t="s">
        <v>188</v>
      </c>
      <c r="D249" s="3" t="s">
        <v>189</v>
      </c>
      <c r="E249" s="3" t="s">
        <v>76</v>
      </c>
      <c r="F249" s="3" t="s">
        <v>85</v>
      </c>
      <c r="G249" s="3" t="s">
        <v>77</v>
      </c>
      <c r="H249" s="3" t="s">
        <v>78</v>
      </c>
      <c r="I249" s="3" t="s">
        <v>79</v>
      </c>
      <c r="J249" s="3" t="s">
        <v>80</v>
      </c>
      <c r="K249" s="3" t="s">
        <v>98</v>
      </c>
      <c r="L249" s="3" t="s">
        <v>99</v>
      </c>
      <c r="M249" s="3" t="s">
        <v>46</v>
      </c>
      <c r="N249" s="3" t="s">
        <v>47</v>
      </c>
      <c r="O249" s="4" t="n">
        <v>340</v>
      </c>
      <c r="P249" s="3" t="s">
        <v>48</v>
      </c>
      <c r="Q249" s="5" t="n">
        <v>138500</v>
      </c>
      <c r="R249" s="6" t="n">
        <v>0.08</v>
      </c>
      <c r="S249" s="5" t="n">
        <f aca="false">O249*Q249</f>
        <v>47090000</v>
      </c>
      <c r="T249" s="5" t="n">
        <f aca="false">S249*R249</f>
        <v>3767200</v>
      </c>
      <c r="U249" s="5" t="n">
        <f aca="false">S249-T249</f>
        <v>43322800</v>
      </c>
      <c r="V249" s="3" t="s">
        <v>81</v>
      </c>
    </row>
    <row r="250" customFormat="false" ht="15" hidden="false" customHeight="false" outlineLevel="0" collapsed="false">
      <c r="A250" s="2" t="n">
        <v>46097</v>
      </c>
      <c r="B250" s="3" t="s">
        <v>398</v>
      </c>
      <c r="C250" s="3" t="s">
        <v>230</v>
      </c>
      <c r="D250" s="3" t="s">
        <v>231</v>
      </c>
      <c r="E250" s="3" t="s">
        <v>76</v>
      </c>
      <c r="F250" s="3" t="s">
        <v>232</v>
      </c>
      <c r="G250" s="3" t="s">
        <v>86</v>
      </c>
      <c r="H250" s="3" t="s">
        <v>87</v>
      </c>
      <c r="I250" s="3" t="s">
        <v>88</v>
      </c>
      <c r="J250" s="3" t="s">
        <v>89</v>
      </c>
      <c r="K250" s="3" t="s">
        <v>148</v>
      </c>
      <c r="L250" s="3" t="s">
        <v>149</v>
      </c>
      <c r="M250" s="3" t="s">
        <v>130</v>
      </c>
      <c r="N250" s="3" t="s">
        <v>131</v>
      </c>
      <c r="O250" s="4" t="n">
        <v>728</v>
      </c>
      <c r="P250" s="3" t="s">
        <v>48</v>
      </c>
      <c r="Q250" s="5" t="n">
        <v>78900</v>
      </c>
      <c r="R250" s="6" t="n">
        <v>0.1</v>
      </c>
      <c r="S250" s="5" t="n">
        <f aca="false">O250*Q250</f>
        <v>57439200</v>
      </c>
      <c r="T250" s="5" t="n">
        <f aca="false">S250*R250</f>
        <v>5743920</v>
      </c>
      <c r="U250" s="5" t="n">
        <f aca="false">S250-T250</f>
        <v>51695280</v>
      </c>
      <c r="V250" s="3" t="s">
        <v>81</v>
      </c>
    </row>
    <row r="251" customFormat="false" ht="15" hidden="false" customHeight="false" outlineLevel="0" collapsed="false">
      <c r="A251" s="2" t="n">
        <v>46097</v>
      </c>
      <c r="B251" s="3" t="s">
        <v>399</v>
      </c>
      <c r="C251" s="3" t="s">
        <v>104</v>
      </c>
      <c r="D251" s="3" t="s">
        <v>105</v>
      </c>
      <c r="E251" s="3" t="s">
        <v>25</v>
      </c>
      <c r="F251" s="3" t="s">
        <v>106</v>
      </c>
      <c r="G251" s="3" t="s">
        <v>27</v>
      </c>
      <c r="H251" s="3" t="s">
        <v>133</v>
      </c>
      <c r="I251" s="3" t="s">
        <v>134</v>
      </c>
      <c r="J251" s="3" t="s">
        <v>135</v>
      </c>
      <c r="K251" s="3" t="s">
        <v>64</v>
      </c>
      <c r="L251" s="3" t="s">
        <v>65</v>
      </c>
      <c r="M251" s="3" t="s">
        <v>33</v>
      </c>
      <c r="N251" s="3" t="s">
        <v>33</v>
      </c>
      <c r="O251" s="4" t="n">
        <v>217</v>
      </c>
      <c r="P251" s="3" t="s">
        <v>66</v>
      </c>
      <c r="Q251" s="5" t="n">
        <v>28500</v>
      </c>
      <c r="R251" s="6" t="n">
        <v>0.15</v>
      </c>
      <c r="S251" s="5" t="n">
        <f aca="false">O251*Q251</f>
        <v>6184500</v>
      </c>
      <c r="T251" s="5" t="n">
        <f aca="false">S251*R251</f>
        <v>927675</v>
      </c>
      <c r="U251" s="5" t="n">
        <f aca="false">S251-T251</f>
        <v>5256825</v>
      </c>
      <c r="V251" s="3" t="s">
        <v>35</v>
      </c>
    </row>
    <row r="252" customFormat="false" ht="15" hidden="false" customHeight="false" outlineLevel="0" collapsed="false">
      <c r="A252" s="2" t="n">
        <v>46097</v>
      </c>
      <c r="B252" s="3" t="s">
        <v>400</v>
      </c>
      <c r="C252" s="3" t="s">
        <v>122</v>
      </c>
      <c r="D252" s="3" t="s">
        <v>123</v>
      </c>
      <c r="E252" s="3" t="s">
        <v>76</v>
      </c>
      <c r="F252" s="3" t="s">
        <v>124</v>
      </c>
      <c r="G252" s="3" t="s">
        <v>86</v>
      </c>
      <c r="H252" s="3" t="s">
        <v>87</v>
      </c>
      <c r="I252" s="3" t="s">
        <v>88</v>
      </c>
      <c r="J252" s="3" t="s">
        <v>89</v>
      </c>
      <c r="K252" s="3" t="s">
        <v>192</v>
      </c>
      <c r="L252" s="3" t="s">
        <v>193</v>
      </c>
      <c r="M252" s="3" t="s">
        <v>46</v>
      </c>
      <c r="N252" s="3" t="s">
        <v>194</v>
      </c>
      <c r="O252" s="4" t="n">
        <v>563</v>
      </c>
      <c r="P252" s="3" t="s">
        <v>48</v>
      </c>
      <c r="Q252" s="5" t="n">
        <v>168000</v>
      </c>
      <c r="R252" s="6" t="n">
        <v>0.08</v>
      </c>
      <c r="S252" s="5" t="n">
        <f aca="false">O252*Q252</f>
        <v>94584000</v>
      </c>
      <c r="T252" s="5" t="n">
        <f aca="false">S252*R252</f>
        <v>7566720</v>
      </c>
      <c r="U252" s="5" t="n">
        <f aca="false">S252-T252</f>
        <v>87017280</v>
      </c>
      <c r="V252" s="3" t="s">
        <v>81</v>
      </c>
    </row>
    <row r="253" customFormat="false" ht="15" hidden="false" customHeight="false" outlineLevel="0" collapsed="false">
      <c r="A253" s="2" t="n">
        <v>46097</v>
      </c>
      <c r="B253" s="3" t="s">
        <v>401</v>
      </c>
      <c r="C253" s="3" t="s">
        <v>230</v>
      </c>
      <c r="D253" s="3" t="s">
        <v>231</v>
      </c>
      <c r="E253" s="3" t="s">
        <v>76</v>
      </c>
      <c r="F253" s="3" t="s">
        <v>232</v>
      </c>
      <c r="G253" s="3" t="s">
        <v>86</v>
      </c>
      <c r="H253" s="3" t="s">
        <v>87</v>
      </c>
      <c r="I253" s="3" t="s">
        <v>88</v>
      </c>
      <c r="J253" s="3" t="s">
        <v>89</v>
      </c>
      <c r="K253" s="3" t="s">
        <v>71</v>
      </c>
      <c r="L253" s="3" t="s">
        <v>72</v>
      </c>
      <c r="M253" s="3" t="s">
        <v>46</v>
      </c>
      <c r="N253" s="3" t="s">
        <v>47</v>
      </c>
      <c r="O253" s="4" t="n">
        <v>658</v>
      </c>
      <c r="P253" s="3" t="s">
        <v>48</v>
      </c>
      <c r="Q253" s="5" t="n">
        <v>156000</v>
      </c>
      <c r="R253" s="6" t="n">
        <v>0.08</v>
      </c>
      <c r="S253" s="5" t="n">
        <f aca="false">O253*Q253</f>
        <v>102648000</v>
      </c>
      <c r="T253" s="5" t="n">
        <f aca="false">S253*R253</f>
        <v>8211840</v>
      </c>
      <c r="U253" s="5" t="n">
        <f aca="false">S253-T253</f>
        <v>94436160</v>
      </c>
      <c r="V253" s="3" t="s">
        <v>81</v>
      </c>
    </row>
    <row r="254" customFormat="false" ht="15" hidden="false" customHeight="false" outlineLevel="0" collapsed="false">
      <c r="A254" s="2" t="n">
        <v>46097</v>
      </c>
      <c r="B254" s="3" t="s">
        <v>402</v>
      </c>
      <c r="C254" s="3" t="s">
        <v>61</v>
      </c>
      <c r="D254" s="3" t="s">
        <v>62</v>
      </c>
      <c r="E254" s="3" t="s">
        <v>25</v>
      </c>
      <c r="F254" s="3" t="s">
        <v>63</v>
      </c>
      <c r="G254" s="3" t="s">
        <v>27</v>
      </c>
      <c r="H254" s="3" t="s">
        <v>28</v>
      </c>
      <c r="I254" s="3" t="s">
        <v>29</v>
      </c>
      <c r="J254" s="3" t="s">
        <v>30</v>
      </c>
      <c r="K254" s="3" t="s">
        <v>90</v>
      </c>
      <c r="L254" s="3" t="s">
        <v>91</v>
      </c>
      <c r="M254" s="3" t="s">
        <v>92</v>
      </c>
      <c r="N254" s="3" t="s">
        <v>59</v>
      </c>
      <c r="O254" s="4" t="n">
        <v>163</v>
      </c>
      <c r="P254" s="3" t="s">
        <v>48</v>
      </c>
      <c r="Q254" s="5" t="n">
        <v>96500</v>
      </c>
      <c r="R254" s="6" t="n">
        <v>0.08</v>
      </c>
      <c r="S254" s="5" t="n">
        <f aca="false">O254*Q254</f>
        <v>15729500</v>
      </c>
      <c r="T254" s="5" t="n">
        <f aca="false">S254*R254</f>
        <v>1258360</v>
      </c>
      <c r="U254" s="5" t="n">
        <f aca="false">S254-T254</f>
        <v>14471140</v>
      </c>
      <c r="V254" s="3" t="s">
        <v>35</v>
      </c>
    </row>
    <row r="255" customFormat="false" ht="15" hidden="false" customHeight="false" outlineLevel="0" collapsed="false">
      <c r="A255" s="2" t="n">
        <v>46098</v>
      </c>
      <c r="B255" s="3" t="s">
        <v>403</v>
      </c>
      <c r="C255" s="3" t="s">
        <v>156</v>
      </c>
      <c r="D255" s="3" t="s">
        <v>157</v>
      </c>
      <c r="E255" s="3" t="s">
        <v>76</v>
      </c>
      <c r="F255" s="3" t="s">
        <v>40</v>
      </c>
      <c r="G255" s="3" t="s">
        <v>77</v>
      </c>
      <c r="H255" s="3" t="s">
        <v>78</v>
      </c>
      <c r="I255" s="3" t="s">
        <v>79</v>
      </c>
      <c r="J255" s="3" t="s">
        <v>80</v>
      </c>
      <c r="K255" s="3" t="s">
        <v>56</v>
      </c>
      <c r="L255" s="3" t="s">
        <v>57</v>
      </c>
      <c r="M255" s="3" t="s">
        <v>58</v>
      </c>
      <c r="N255" s="3" t="s">
        <v>59</v>
      </c>
      <c r="O255" s="4" t="n">
        <v>366</v>
      </c>
      <c r="P255" s="3" t="s">
        <v>48</v>
      </c>
      <c r="Q255" s="5" t="n">
        <v>52800</v>
      </c>
      <c r="R255" s="6" t="n">
        <v>0.08</v>
      </c>
      <c r="S255" s="5" t="n">
        <f aca="false">O255*Q255</f>
        <v>19324800</v>
      </c>
      <c r="T255" s="5" t="n">
        <f aca="false">S255*R255</f>
        <v>1545984</v>
      </c>
      <c r="U255" s="5" t="n">
        <f aca="false">S255-T255</f>
        <v>17778816</v>
      </c>
      <c r="V255" s="3" t="s">
        <v>81</v>
      </c>
    </row>
    <row r="256" customFormat="false" ht="15" hidden="false" customHeight="false" outlineLevel="0" collapsed="false">
      <c r="A256" s="2" t="n">
        <v>46098</v>
      </c>
      <c r="B256" s="3" t="s">
        <v>404</v>
      </c>
      <c r="C256" s="3" t="s">
        <v>61</v>
      </c>
      <c r="D256" s="3" t="s">
        <v>62</v>
      </c>
      <c r="E256" s="3" t="s">
        <v>25</v>
      </c>
      <c r="F256" s="3" t="s">
        <v>63</v>
      </c>
      <c r="G256" s="3" t="s">
        <v>27</v>
      </c>
      <c r="H256" s="3" t="s">
        <v>28</v>
      </c>
      <c r="I256" s="3" t="s">
        <v>29</v>
      </c>
      <c r="J256" s="3" t="s">
        <v>30</v>
      </c>
      <c r="K256" s="3" t="s">
        <v>64</v>
      </c>
      <c r="L256" s="3" t="s">
        <v>65</v>
      </c>
      <c r="M256" s="3" t="s">
        <v>33</v>
      </c>
      <c r="N256" s="3" t="s">
        <v>33</v>
      </c>
      <c r="O256" s="4" t="n">
        <v>197</v>
      </c>
      <c r="P256" s="3" t="s">
        <v>66</v>
      </c>
      <c r="Q256" s="5" t="n">
        <v>28500</v>
      </c>
      <c r="R256" s="6" t="n">
        <v>0.08</v>
      </c>
      <c r="S256" s="5" t="n">
        <f aca="false">O256*Q256</f>
        <v>5614500</v>
      </c>
      <c r="T256" s="5" t="n">
        <f aca="false">S256*R256</f>
        <v>449160</v>
      </c>
      <c r="U256" s="5" t="n">
        <f aca="false">S256-T256</f>
        <v>5165340</v>
      </c>
      <c r="V256" s="3" t="s">
        <v>35</v>
      </c>
    </row>
    <row r="257" customFormat="false" ht="15" hidden="false" customHeight="false" outlineLevel="0" collapsed="false">
      <c r="A257" s="2" t="n">
        <v>46098</v>
      </c>
      <c r="B257" s="3" t="s">
        <v>405</v>
      </c>
      <c r="C257" s="3" t="s">
        <v>37</v>
      </c>
      <c r="D257" s="3" t="s">
        <v>38</v>
      </c>
      <c r="E257" s="3" t="s">
        <v>39</v>
      </c>
      <c r="F257" s="3" t="s">
        <v>40</v>
      </c>
      <c r="G257" s="3" t="s">
        <v>39</v>
      </c>
      <c r="H257" s="3" t="s">
        <v>68</v>
      </c>
      <c r="I257" s="3" t="s">
        <v>69</v>
      </c>
      <c r="J257" s="3" t="s">
        <v>70</v>
      </c>
      <c r="K257" s="3" t="s">
        <v>90</v>
      </c>
      <c r="L257" s="3" t="s">
        <v>91</v>
      </c>
      <c r="M257" s="3" t="s">
        <v>92</v>
      </c>
      <c r="N257" s="3" t="s">
        <v>59</v>
      </c>
      <c r="O257" s="4" t="n">
        <v>156</v>
      </c>
      <c r="P257" s="3" t="s">
        <v>48</v>
      </c>
      <c r="Q257" s="5" t="n">
        <v>96500</v>
      </c>
      <c r="R257" s="6" t="n">
        <v>0.02</v>
      </c>
      <c r="S257" s="5" t="n">
        <f aca="false">O257*Q257</f>
        <v>15054000</v>
      </c>
      <c r="T257" s="5" t="n">
        <f aca="false">S257*R257</f>
        <v>301080</v>
      </c>
      <c r="U257" s="5" t="n">
        <f aca="false">S257-T257</f>
        <v>14752920</v>
      </c>
      <c r="V257" s="3" t="s">
        <v>39</v>
      </c>
    </row>
    <row r="258" customFormat="false" ht="15" hidden="false" customHeight="false" outlineLevel="0" collapsed="false">
      <c r="A258" s="2" t="n">
        <v>46098</v>
      </c>
      <c r="B258" s="3" t="s">
        <v>406</v>
      </c>
      <c r="C258" s="3" t="s">
        <v>83</v>
      </c>
      <c r="D258" s="3" t="s">
        <v>84</v>
      </c>
      <c r="E258" s="3" t="s">
        <v>76</v>
      </c>
      <c r="F258" s="3" t="s">
        <v>85</v>
      </c>
      <c r="G258" s="3" t="s">
        <v>86</v>
      </c>
      <c r="H258" s="3" t="s">
        <v>87</v>
      </c>
      <c r="I258" s="3" t="s">
        <v>88</v>
      </c>
      <c r="J258" s="3" t="s">
        <v>89</v>
      </c>
      <c r="K258" s="3" t="s">
        <v>162</v>
      </c>
      <c r="L258" s="3" t="s">
        <v>163</v>
      </c>
      <c r="M258" s="3" t="s">
        <v>58</v>
      </c>
      <c r="N258" s="3" t="s">
        <v>59</v>
      </c>
      <c r="O258" s="4" t="n">
        <v>488</v>
      </c>
      <c r="P258" s="3" t="s">
        <v>48</v>
      </c>
      <c r="Q258" s="5" t="n">
        <v>48500</v>
      </c>
      <c r="R258" s="6" t="n">
        <v>0.1</v>
      </c>
      <c r="S258" s="5" t="n">
        <f aca="false">O258*Q258</f>
        <v>23668000</v>
      </c>
      <c r="T258" s="5" t="n">
        <f aca="false">S258*R258</f>
        <v>2366800</v>
      </c>
      <c r="U258" s="5" t="n">
        <f aca="false">S258-T258</f>
        <v>21301200</v>
      </c>
      <c r="V258" s="3" t="s">
        <v>81</v>
      </c>
    </row>
    <row r="259" customFormat="false" ht="15" hidden="false" customHeight="false" outlineLevel="0" collapsed="false">
      <c r="A259" s="2" t="n">
        <v>46098</v>
      </c>
      <c r="B259" s="3" t="s">
        <v>407</v>
      </c>
      <c r="C259" s="3" t="s">
        <v>188</v>
      </c>
      <c r="D259" s="3" t="s">
        <v>189</v>
      </c>
      <c r="E259" s="3" t="s">
        <v>76</v>
      </c>
      <c r="F259" s="3" t="s">
        <v>85</v>
      </c>
      <c r="G259" s="3" t="s">
        <v>77</v>
      </c>
      <c r="H259" s="3" t="s">
        <v>78</v>
      </c>
      <c r="I259" s="3" t="s">
        <v>79</v>
      </c>
      <c r="J259" s="3" t="s">
        <v>80</v>
      </c>
      <c r="K259" s="3" t="s">
        <v>192</v>
      </c>
      <c r="L259" s="3" t="s">
        <v>193</v>
      </c>
      <c r="M259" s="3" t="s">
        <v>46</v>
      </c>
      <c r="N259" s="3" t="s">
        <v>194</v>
      </c>
      <c r="O259" s="4" t="n">
        <v>458</v>
      </c>
      <c r="P259" s="3" t="s">
        <v>48</v>
      </c>
      <c r="Q259" s="5" t="n">
        <v>168000</v>
      </c>
      <c r="R259" s="6" t="n">
        <v>0.05</v>
      </c>
      <c r="S259" s="5" t="n">
        <f aca="false">O259*Q259</f>
        <v>76944000</v>
      </c>
      <c r="T259" s="5" t="n">
        <f aca="false">S259*R259</f>
        <v>3847200</v>
      </c>
      <c r="U259" s="5" t="n">
        <f aca="false">S259-T259</f>
        <v>73096800</v>
      </c>
      <c r="V259" s="3" t="s">
        <v>81</v>
      </c>
    </row>
    <row r="260" customFormat="false" ht="15" hidden="false" customHeight="false" outlineLevel="0" collapsed="false">
      <c r="A260" s="2" t="n">
        <v>46098</v>
      </c>
      <c r="B260" s="3" t="s">
        <v>408</v>
      </c>
      <c r="C260" s="3" t="s">
        <v>188</v>
      </c>
      <c r="D260" s="3" t="s">
        <v>189</v>
      </c>
      <c r="E260" s="3" t="s">
        <v>76</v>
      </c>
      <c r="F260" s="3" t="s">
        <v>85</v>
      </c>
      <c r="G260" s="3" t="s">
        <v>77</v>
      </c>
      <c r="H260" s="3" t="s">
        <v>78</v>
      </c>
      <c r="I260" s="3" t="s">
        <v>79</v>
      </c>
      <c r="J260" s="3" t="s">
        <v>80</v>
      </c>
      <c r="K260" s="3" t="s">
        <v>162</v>
      </c>
      <c r="L260" s="3" t="s">
        <v>163</v>
      </c>
      <c r="M260" s="3" t="s">
        <v>58</v>
      </c>
      <c r="N260" s="3" t="s">
        <v>59</v>
      </c>
      <c r="O260" s="4" t="n">
        <v>484</v>
      </c>
      <c r="P260" s="3" t="s">
        <v>48</v>
      </c>
      <c r="Q260" s="5" t="n">
        <v>48500</v>
      </c>
      <c r="R260" s="6" t="n">
        <v>0.1</v>
      </c>
      <c r="S260" s="5" t="n">
        <f aca="false">O260*Q260</f>
        <v>23474000</v>
      </c>
      <c r="T260" s="5" t="n">
        <f aca="false">S260*R260</f>
        <v>2347400</v>
      </c>
      <c r="U260" s="5" t="n">
        <f aca="false">S260-T260</f>
        <v>21126600</v>
      </c>
      <c r="V260" s="3" t="s">
        <v>81</v>
      </c>
    </row>
    <row r="261" customFormat="false" ht="15" hidden="false" customHeight="false" outlineLevel="0" collapsed="false">
      <c r="A261" s="2" t="n">
        <v>46098</v>
      </c>
      <c r="B261" s="3" t="s">
        <v>409</v>
      </c>
      <c r="C261" s="3" t="s">
        <v>188</v>
      </c>
      <c r="D261" s="3" t="s">
        <v>189</v>
      </c>
      <c r="E261" s="3" t="s">
        <v>76</v>
      </c>
      <c r="F261" s="3" t="s">
        <v>85</v>
      </c>
      <c r="G261" s="3" t="s">
        <v>77</v>
      </c>
      <c r="H261" s="3" t="s">
        <v>78</v>
      </c>
      <c r="I261" s="3" t="s">
        <v>79</v>
      </c>
      <c r="J261" s="3" t="s">
        <v>80</v>
      </c>
      <c r="K261" s="3" t="s">
        <v>119</v>
      </c>
      <c r="L261" s="3" t="s">
        <v>120</v>
      </c>
      <c r="M261" s="3" t="s">
        <v>33</v>
      </c>
      <c r="N261" s="3" t="s">
        <v>33</v>
      </c>
      <c r="O261" s="4" t="n">
        <v>80</v>
      </c>
      <c r="P261" s="3" t="s">
        <v>34</v>
      </c>
      <c r="Q261" s="5" t="n">
        <v>18900</v>
      </c>
      <c r="R261" s="6" t="n">
        <v>0.02</v>
      </c>
      <c r="S261" s="5" t="n">
        <f aca="false">O261*Q261</f>
        <v>1512000</v>
      </c>
      <c r="T261" s="5" t="n">
        <f aca="false">S261*R261</f>
        <v>30240</v>
      </c>
      <c r="U261" s="5" t="n">
        <f aca="false">S261-T261</f>
        <v>1481760</v>
      </c>
      <c r="V261" s="3" t="s">
        <v>81</v>
      </c>
    </row>
    <row r="262" customFormat="false" ht="15" hidden="false" customHeight="false" outlineLevel="0" collapsed="false">
      <c r="A262" s="2" t="n">
        <v>46098</v>
      </c>
      <c r="B262" s="3" t="s">
        <v>410</v>
      </c>
      <c r="C262" s="3" t="s">
        <v>165</v>
      </c>
      <c r="D262" s="3" t="s">
        <v>166</v>
      </c>
      <c r="E262" s="3" t="s">
        <v>76</v>
      </c>
      <c r="F262" s="3" t="s">
        <v>167</v>
      </c>
      <c r="G262" s="3" t="s">
        <v>86</v>
      </c>
      <c r="H262" s="3" t="s">
        <v>87</v>
      </c>
      <c r="I262" s="3" t="s">
        <v>88</v>
      </c>
      <c r="J262" s="3" t="s">
        <v>89</v>
      </c>
      <c r="K262" s="3" t="s">
        <v>162</v>
      </c>
      <c r="L262" s="3" t="s">
        <v>163</v>
      </c>
      <c r="M262" s="3" t="s">
        <v>58</v>
      </c>
      <c r="N262" s="3" t="s">
        <v>59</v>
      </c>
      <c r="O262" s="4" t="n">
        <v>252</v>
      </c>
      <c r="P262" s="3" t="s">
        <v>48</v>
      </c>
      <c r="Q262" s="5" t="n">
        <v>48500</v>
      </c>
      <c r="R262" s="6" t="n">
        <v>0.05</v>
      </c>
      <c r="S262" s="5" t="n">
        <f aca="false">O262*Q262</f>
        <v>12222000</v>
      </c>
      <c r="T262" s="5" t="n">
        <f aca="false">S262*R262</f>
        <v>611100</v>
      </c>
      <c r="U262" s="5" t="n">
        <f aca="false">S262-T262</f>
        <v>11610900</v>
      </c>
      <c r="V262" s="3" t="s">
        <v>81</v>
      </c>
    </row>
    <row r="263" customFormat="false" ht="15" hidden="false" customHeight="false" outlineLevel="0" collapsed="false">
      <c r="A263" s="2" t="n">
        <v>46099</v>
      </c>
      <c r="B263" s="3" t="s">
        <v>411</v>
      </c>
      <c r="C263" s="3" t="s">
        <v>104</v>
      </c>
      <c r="D263" s="3" t="s">
        <v>105</v>
      </c>
      <c r="E263" s="3" t="s">
        <v>25</v>
      </c>
      <c r="F263" s="3" t="s">
        <v>106</v>
      </c>
      <c r="G263" s="3" t="s">
        <v>27</v>
      </c>
      <c r="H263" s="3" t="s">
        <v>133</v>
      </c>
      <c r="I263" s="3" t="s">
        <v>134</v>
      </c>
      <c r="J263" s="3" t="s">
        <v>135</v>
      </c>
      <c r="K263" s="3" t="s">
        <v>119</v>
      </c>
      <c r="L263" s="3" t="s">
        <v>120</v>
      </c>
      <c r="M263" s="3" t="s">
        <v>33</v>
      </c>
      <c r="N263" s="3" t="s">
        <v>33</v>
      </c>
      <c r="O263" s="4" t="n">
        <v>148</v>
      </c>
      <c r="P263" s="3" t="s">
        <v>34</v>
      </c>
      <c r="Q263" s="5" t="n">
        <v>18900</v>
      </c>
      <c r="R263" s="6" t="n">
        <v>0.15</v>
      </c>
      <c r="S263" s="5" t="n">
        <f aca="false">O263*Q263</f>
        <v>2797200</v>
      </c>
      <c r="T263" s="5" t="n">
        <f aca="false">S263*R263</f>
        <v>419580</v>
      </c>
      <c r="U263" s="5" t="n">
        <f aca="false">S263-T263</f>
        <v>2377620</v>
      </c>
      <c r="V263" s="3" t="s">
        <v>35</v>
      </c>
    </row>
    <row r="264" customFormat="false" ht="15" hidden="false" customHeight="false" outlineLevel="0" collapsed="false">
      <c r="A264" s="2" t="n">
        <v>46099</v>
      </c>
      <c r="B264" s="3" t="s">
        <v>412</v>
      </c>
      <c r="C264" s="3" t="s">
        <v>37</v>
      </c>
      <c r="D264" s="3" t="s">
        <v>38</v>
      </c>
      <c r="E264" s="3" t="s">
        <v>39</v>
      </c>
      <c r="F264" s="3" t="s">
        <v>40</v>
      </c>
      <c r="G264" s="3" t="s">
        <v>39</v>
      </c>
      <c r="H264" s="3" t="s">
        <v>68</v>
      </c>
      <c r="I264" s="3" t="s">
        <v>69</v>
      </c>
      <c r="J264" s="3" t="s">
        <v>70</v>
      </c>
      <c r="K264" s="3" t="s">
        <v>64</v>
      </c>
      <c r="L264" s="3" t="s">
        <v>65</v>
      </c>
      <c r="M264" s="3" t="s">
        <v>33</v>
      </c>
      <c r="N264" s="3" t="s">
        <v>33</v>
      </c>
      <c r="O264" s="4" t="n">
        <v>148</v>
      </c>
      <c r="P264" s="3" t="s">
        <v>66</v>
      </c>
      <c r="Q264" s="5" t="n">
        <v>28500</v>
      </c>
      <c r="R264" s="6" t="n">
        <v>0.03</v>
      </c>
      <c r="S264" s="5" t="n">
        <f aca="false">O264*Q264</f>
        <v>4218000</v>
      </c>
      <c r="T264" s="5" t="n">
        <f aca="false">S264*R264</f>
        <v>126540</v>
      </c>
      <c r="U264" s="5" t="n">
        <f aca="false">S264-T264</f>
        <v>4091460</v>
      </c>
      <c r="V264" s="3" t="s">
        <v>39</v>
      </c>
    </row>
    <row r="265" customFormat="false" ht="15" hidden="false" customHeight="false" outlineLevel="0" collapsed="false">
      <c r="A265" s="2" t="n">
        <v>46099</v>
      </c>
      <c r="B265" s="3" t="s">
        <v>413</v>
      </c>
      <c r="C265" s="3" t="s">
        <v>50</v>
      </c>
      <c r="D265" s="3" t="s">
        <v>51</v>
      </c>
      <c r="E265" s="3" t="s">
        <v>25</v>
      </c>
      <c r="F265" s="3" t="s">
        <v>52</v>
      </c>
      <c r="G265" s="3" t="s">
        <v>27</v>
      </c>
      <c r="H265" s="3" t="s">
        <v>53</v>
      </c>
      <c r="I265" s="3" t="s">
        <v>54</v>
      </c>
      <c r="J265" s="3" t="s">
        <v>55</v>
      </c>
      <c r="K265" s="3" t="s">
        <v>31</v>
      </c>
      <c r="L265" s="3" t="s">
        <v>32</v>
      </c>
      <c r="M265" s="3" t="s">
        <v>33</v>
      </c>
      <c r="N265" s="3" t="s">
        <v>33</v>
      </c>
      <c r="O265" s="4" t="n">
        <v>164</v>
      </c>
      <c r="P265" s="3" t="s">
        <v>34</v>
      </c>
      <c r="Q265" s="5" t="n">
        <v>34200</v>
      </c>
      <c r="R265" s="6" t="n">
        <v>0.1</v>
      </c>
      <c r="S265" s="5" t="n">
        <f aca="false">O265*Q265</f>
        <v>5608800</v>
      </c>
      <c r="T265" s="5" t="n">
        <f aca="false">S265*R265</f>
        <v>560880</v>
      </c>
      <c r="U265" s="5" t="n">
        <f aca="false">S265-T265</f>
        <v>5047920</v>
      </c>
      <c r="V265" s="3" t="s">
        <v>35</v>
      </c>
    </row>
    <row r="266" customFormat="false" ht="15" hidden="false" customHeight="false" outlineLevel="0" collapsed="false">
      <c r="A266" s="2" t="n">
        <v>46099</v>
      </c>
      <c r="B266" s="3" t="s">
        <v>414</v>
      </c>
      <c r="C266" s="3" t="s">
        <v>50</v>
      </c>
      <c r="D266" s="3" t="s">
        <v>51</v>
      </c>
      <c r="E266" s="3" t="s">
        <v>25</v>
      </c>
      <c r="F266" s="3" t="s">
        <v>52</v>
      </c>
      <c r="G266" s="3" t="s">
        <v>27</v>
      </c>
      <c r="H266" s="3" t="s">
        <v>28</v>
      </c>
      <c r="I266" s="3" t="s">
        <v>29</v>
      </c>
      <c r="J266" s="3" t="s">
        <v>30</v>
      </c>
      <c r="K266" s="3" t="s">
        <v>162</v>
      </c>
      <c r="L266" s="3" t="s">
        <v>163</v>
      </c>
      <c r="M266" s="3" t="s">
        <v>58</v>
      </c>
      <c r="N266" s="3" t="s">
        <v>59</v>
      </c>
      <c r="O266" s="4" t="n">
        <v>104</v>
      </c>
      <c r="P266" s="3" t="s">
        <v>48</v>
      </c>
      <c r="Q266" s="5" t="n">
        <v>48500</v>
      </c>
      <c r="R266" s="6" t="n">
        <v>0.15</v>
      </c>
      <c r="S266" s="5" t="n">
        <f aca="false">O266*Q266</f>
        <v>5044000</v>
      </c>
      <c r="T266" s="5" t="n">
        <f aca="false">S266*R266</f>
        <v>756600</v>
      </c>
      <c r="U266" s="5" t="n">
        <f aca="false">S266-T266</f>
        <v>4287400</v>
      </c>
      <c r="V266" s="3" t="s">
        <v>35</v>
      </c>
    </row>
    <row r="267" customFormat="false" ht="15" hidden="false" customHeight="false" outlineLevel="0" collapsed="false">
      <c r="A267" s="2" t="n">
        <v>46099</v>
      </c>
      <c r="B267" s="3" t="s">
        <v>415</v>
      </c>
      <c r="C267" s="3" t="s">
        <v>126</v>
      </c>
      <c r="D267" s="3" t="s">
        <v>127</v>
      </c>
      <c r="E267" s="3" t="s">
        <v>76</v>
      </c>
      <c r="F267" s="3" t="s">
        <v>40</v>
      </c>
      <c r="G267" s="3" t="s">
        <v>77</v>
      </c>
      <c r="H267" s="3" t="s">
        <v>78</v>
      </c>
      <c r="I267" s="3" t="s">
        <v>79</v>
      </c>
      <c r="J267" s="3" t="s">
        <v>80</v>
      </c>
      <c r="K267" s="3" t="s">
        <v>162</v>
      </c>
      <c r="L267" s="3" t="s">
        <v>163</v>
      </c>
      <c r="M267" s="3" t="s">
        <v>58</v>
      </c>
      <c r="N267" s="3" t="s">
        <v>59</v>
      </c>
      <c r="O267" s="4" t="n">
        <v>417</v>
      </c>
      <c r="P267" s="3" t="s">
        <v>48</v>
      </c>
      <c r="Q267" s="5" t="n">
        <v>48500</v>
      </c>
      <c r="R267" s="6" t="n">
        <v>0.05</v>
      </c>
      <c r="S267" s="5" t="n">
        <f aca="false">O267*Q267</f>
        <v>20224500</v>
      </c>
      <c r="T267" s="5" t="n">
        <f aca="false">S267*R267</f>
        <v>1011225</v>
      </c>
      <c r="U267" s="5" t="n">
        <f aca="false">S267-T267</f>
        <v>19213275</v>
      </c>
      <c r="V267" s="3" t="s">
        <v>81</v>
      </c>
    </row>
    <row r="268" customFormat="false" ht="15" hidden="false" customHeight="false" outlineLevel="0" collapsed="false">
      <c r="A268" s="2" t="n">
        <v>46099</v>
      </c>
      <c r="B268" s="3" t="s">
        <v>416</v>
      </c>
      <c r="C268" s="3" t="s">
        <v>104</v>
      </c>
      <c r="D268" s="3" t="s">
        <v>105</v>
      </c>
      <c r="E268" s="3" t="s">
        <v>25</v>
      </c>
      <c r="F268" s="3" t="s">
        <v>106</v>
      </c>
      <c r="G268" s="3" t="s">
        <v>27</v>
      </c>
      <c r="H268" s="3" t="s">
        <v>28</v>
      </c>
      <c r="I268" s="3" t="s">
        <v>29</v>
      </c>
      <c r="J268" s="3" t="s">
        <v>30</v>
      </c>
      <c r="K268" s="3" t="s">
        <v>119</v>
      </c>
      <c r="L268" s="3" t="s">
        <v>120</v>
      </c>
      <c r="M268" s="3" t="s">
        <v>33</v>
      </c>
      <c r="N268" s="3" t="s">
        <v>33</v>
      </c>
      <c r="O268" s="4" t="n">
        <v>179</v>
      </c>
      <c r="P268" s="3" t="s">
        <v>34</v>
      </c>
      <c r="Q268" s="5" t="n">
        <v>18900</v>
      </c>
      <c r="R268" s="6" t="n">
        <v>0.15</v>
      </c>
      <c r="S268" s="5" t="n">
        <f aca="false">O268*Q268</f>
        <v>3383100</v>
      </c>
      <c r="T268" s="5" t="n">
        <f aca="false">S268*R268</f>
        <v>507465</v>
      </c>
      <c r="U268" s="5" t="n">
        <f aca="false">S268-T268</f>
        <v>2875635</v>
      </c>
      <c r="V268" s="3" t="s">
        <v>35</v>
      </c>
    </row>
    <row r="269" customFormat="false" ht="15" hidden="false" customHeight="false" outlineLevel="0" collapsed="false">
      <c r="A269" s="2" t="n">
        <v>46099</v>
      </c>
      <c r="B269" s="3" t="s">
        <v>417</v>
      </c>
      <c r="C269" s="3" t="s">
        <v>74</v>
      </c>
      <c r="D269" s="3" t="s">
        <v>75</v>
      </c>
      <c r="E269" s="3" t="s">
        <v>76</v>
      </c>
      <c r="F269" s="3" t="s">
        <v>26</v>
      </c>
      <c r="G269" s="3" t="s">
        <v>77</v>
      </c>
      <c r="H269" s="3" t="s">
        <v>78</v>
      </c>
      <c r="I269" s="3" t="s">
        <v>79</v>
      </c>
      <c r="J269" s="3" t="s">
        <v>80</v>
      </c>
      <c r="K269" s="3" t="s">
        <v>148</v>
      </c>
      <c r="L269" s="3" t="s">
        <v>149</v>
      </c>
      <c r="M269" s="3" t="s">
        <v>130</v>
      </c>
      <c r="N269" s="3" t="s">
        <v>131</v>
      </c>
      <c r="O269" s="4" t="n">
        <v>710</v>
      </c>
      <c r="P269" s="3" t="s">
        <v>48</v>
      </c>
      <c r="Q269" s="5" t="n">
        <v>78900</v>
      </c>
      <c r="R269" s="6" t="n">
        <v>0.05</v>
      </c>
      <c r="S269" s="5" t="n">
        <f aca="false">O269*Q269</f>
        <v>56019000</v>
      </c>
      <c r="T269" s="5" t="n">
        <f aca="false">S269*R269</f>
        <v>2800950</v>
      </c>
      <c r="U269" s="5" t="n">
        <f aca="false">S269-T269</f>
        <v>53218050</v>
      </c>
      <c r="V269" s="3" t="s">
        <v>81</v>
      </c>
    </row>
    <row r="270" customFormat="false" ht="15" hidden="false" customHeight="false" outlineLevel="0" collapsed="false">
      <c r="A270" s="2" t="n">
        <v>46099</v>
      </c>
      <c r="B270" s="3" t="s">
        <v>418</v>
      </c>
      <c r="C270" s="3" t="s">
        <v>37</v>
      </c>
      <c r="D270" s="3" t="s">
        <v>38</v>
      </c>
      <c r="E270" s="3" t="s">
        <v>39</v>
      </c>
      <c r="F270" s="3" t="s">
        <v>40</v>
      </c>
      <c r="G270" s="3" t="s">
        <v>39</v>
      </c>
      <c r="H270" s="3" t="s">
        <v>68</v>
      </c>
      <c r="I270" s="3" t="s">
        <v>69</v>
      </c>
      <c r="J270" s="3" t="s">
        <v>70</v>
      </c>
      <c r="K270" s="3" t="s">
        <v>162</v>
      </c>
      <c r="L270" s="3" t="s">
        <v>163</v>
      </c>
      <c r="M270" s="3" t="s">
        <v>58</v>
      </c>
      <c r="N270" s="3" t="s">
        <v>59</v>
      </c>
      <c r="O270" s="4" t="n">
        <v>148</v>
      </c>
      <c r="P270" s="3" t="s">
        <v>48</v>
      </c>
      <c r="Q270" s="5" t="n">
        <v>48500</v>
      </c>
      <c r="R270" s="6" t="n">
        <v>0.03</v>
      </c>
      <c r="S270" s="5" t="n">
        <f aca="false">O270*Q270</f>
        <v>7178000</v>
      </c>
      <c r="T270" s="5" t="n">
        <f aca="false">S270*R270</f>
        <v>215340</v>
      </c>
      <c r="U270" s="5" t="n">
        <f aca="false">S270-T270</f>
        <v>6962660</v>
      </c>
      <c r="V270" s="3" t="s">
        <v>39</v>
      </c>
    </row>
    <row r="271" customFormat="false" ht="15" hidden="false" customHeight="false" outlineLevel="0" collapsed="false">
      <c r="A271" s="2" t="n">
        <v>46100</v>
      </c>
      <c r="B271" s="3" t="s">
        <v>419</v>
      </c>
      <c r="C271" s="3" t="s">
        <v>188</v>
      </c>
      <c r="D271" s="3" t="s">
        <v>189</v>
      </c>
      <c r="E271" s="3" t="s">
        <v>76</v>
      </c>
      <c r="F271" s="3" t="s">
        <v>85</v>
      </c>
      <c r="G271" s="3" t="s">
        <v>77</v>
      </c>
      <c r="H271" s="3" t="s">
        <v>78</v>
      </c>
      <c r="I271" s="3" t="s">
        <v>79</v>
      </c>
      <c r="J271" s="3" t="s">
        <v>80</v>
      </c>
      <c r="K271" s="3" t="s">
        <v>56</v>
      </c>
      <c r="L271" s="3" t="s">
        <v>57</v>
      </c>
      <c r="M271" s="3" t="s">
        <v>58</v>
      </c>
      <c r="N271" s="3" t="s">
        <v>59</v>
      </c>
      <c r="O271" s="4" t="n">
        <v>346</v>
      </c>
      <c r="P271" s="3" t="s">
        <v>48</v>
      </c>
      <c r="Q271" s="5" t="n">
        <v>52800</v>
      </c>
      <c r="R271" s="6" t="n">
        <v>0.1</v>
      </c>
      <c r="S271" s="5" t="n">
        <f aca="false">O271*Q271</f>
        <v>18268800</v>
      </c>
      <c r="T271" s="5" t="n">
        <f aca="false">S271*R271</f>
        <v>1826880</v>
      </c>
      <c r="U271" s="5" t="n">
        <f aca="false">S271-T271</f>
        <v>16441920</v>
      </c>
      <c r="V271" s="3" t="s">
        <v>81</v>
      </c>
    </row>
    <row r="272" customFormat="false" ht="15" hidden="false" customHeight="false" outlineLevel="0" collapsed="false">
      <c r="A272" s="2" t="n">
        <v>46100</v>
      </c>
      <c r="B272" s="3" t="s">
        <v>420</v>
      </c>
      <c r="C272" s="3" t="s">
        <v>113</v>
      </c>
      <c r="D272" s="3" t="s">
        <v>114</v>
      </c>
      <c r="E272" s="3" t="s">
        <v>25</v>
      </c>
      <c r="F272" s="3" t="s">
        <v>85</v>
      </c>
      <c r="G272" s="3" t="s">
        <v>27</v>
      </c>
      <c r="H272" s="3" t="s">
        <v>53</v>
      </c>
      <c r="I272" s="3" t="s">
        <v>54</v>
      </c>
      <c r="J272" s="3" t="s">
        <v>55</v>
      </c>
      <c r="K272" s="3" t="s">
        <v>56</v>
      </c>
      <c r="L272" s="3" t="s">
        <v>57</v>
      </c>
      <c r="M272" s="3" t="s">
        <v>58</v>
      </c>
      <c r="N272" s="3" t="s">
        <v>59</v>
      </c>
      <c r="O272" s="4" t="n">
        <v>141</v>
      </c>
      <c r="P272" s="3" t="s">
        <v>48</v>
      </c>
      <c r="Q272" s="5" t="n">
        <v>52800</v>
      </c>
      <c r="R272" s="6" t="n">
        <v>0.08</v>
      </c>
      <c r="S272" s="5" t="n">
        <f aca="false">O272*Q272</f>
        <v>7444800</v>
      </c>
      <c r="T272" s="5" t="n">
        <f aca="false">S272*R272</f>
        <v>595584</v>
      </c>
      <c r="U272" s="5" t="n">
        <f aca="false">S272-T272</f>
        <v>6849216</v>
      </c>
      <c r="V272" s="3" t="s">
        <v>35</v>
      </c>
    </row>
    <row r="273" customFormat="false" ht="15" hidden="false" customHeight="false" outlineLevel="0" collapsed="false">
      <c r="A273" s="2" t="n">
        <v>46100</v>
      </c>
      <c r="B273" s="3" t="s">
        <v>421</v>
      </c>
      <c r="C273" s="3" t="s">
        <v>94</v>
      </c>
      <c r="D273" s="3" t="s">
        <v>95</v>
      </c>
      <c r="E273" s="3" t="s">
        <v>76</v>
      </c>
      <c r="F273" s="3" t="s">
        <v>96</v>
      </c>
      <c r="G273" s="3" t="s">
        <v>97</v>
      </c>
      <c r="H273" s="3" t="s">
        <v>41</v>
      </c>
      <c r="I273" s="3" t="s">
        <v>42</v>
      </c>
      <c r="J273" s="3" t="s">
        <v>43</v>
      </c>
      <c r="K273" s="3" t="s">
        <v>162</v>
      </c>
      <c r="L273" s="3" t="s">
        <v>163</v>
      </c>
      <c r="M273" s="3" t="s">
        <v>58</v>
      </c>
      <c r="N273" s="3" t="s">
        <v>59</v>
      </c>
      <c r="O273" s="4" t="n">
        <v>588</v>
      </c>
      <c r="P273" s="3" t="s">
        <v>48</v>
      </c>
      <c r="Q273" s="5" t="n">
        <v>48500</v>
      </c>
      <c r="R273" s="6" t="n">
        <v>0.1</v>
      </c>
      <c r="S273" s="5" t="n">
        <f aca="false">O273*Q273</f>
        <v>28518000</v>
      </c>
      <c r="T273" s="5" t="n">
        <f aca="false">S273*R273</f>
        <v>2851800</v>
      </c>
      <c r="U273" s="5" t="n">
        <f aca="false">S273-T273</f>
        <v>25666200</v>
      </c>
      <c r="V273" s="3" t="s">
        <v>81</v>
      </c>
    </row>
    <row r="274" customFormat="false" ht="15" hidden="false" customHeight="false" outlineLevel="0" collapsed="false">
      <c r="A274" s="2" t="n">
        <v>46101</v>
      </c>
      <c r="B274" s="3" t="s">
        <v>422</v>
      </c>
      <c r="C274" s="3" t="s">
        <v>37</v>
      </c>
      <c r="D274" s="3" t="s">
        <v>38</v>
      </c>
      <c r="E274" s="3" t="s">
        <v>39</v>
      </c>
      <c r="F274" s="3" t="s">
        <v>40</v>
      </c>
      <c r="G274" s="3" t="s">
        <v>39</v>
      </c>
      <c r="H274" s="3" t="s">
        <v>68</v>
      </c>
      <c r="I274" s="3" t="s">
        <v>69</v>
      </c>
      <c r="J274" s="3" t="s">
        <v>70</v>
      </c>
      <c r="K274" s="3" t="s">
        <v>162</v>
      </c>
      <c r="L274" s="3" t="s">
        <v>163</v>
      </c>
      <c r="M274" s="3" t="s">
        <v>58</v>
      </c>
      <c r="N274" s="3" t="s">
        <v>59</v>
      </c>
      <c r="O274" s="4" t="n">
        <v>291</v>
      </c>
      <c r="P274" s="3" t="s">
        <v>48</v>
      </c>
      <c r="Q274" s="5" t="n">
        <v>48500</v>
      </c>
      <c r="R274" s="6" t="n">
        <v>0.02</v>
      </c>
      <c r="S274" s="5" t="n">
        <f aca="false">O274*Q274</f>
        <v>14113500</v>
      </c>
      <c r="T274" s="5" t="n">
        <f aca="false">S274*R274</f>
        <v>282270</v>
      </c>
      <c r="U274" s="5" t="n">
        <f aca="false">S274-T274</f>
        <v>13831230</v>
      </c>
      <c r="V274" s="3" t="s">
        <v>39</v>
      </c>
    </row>
    <row r="275" customFormat="false" ht="15" hidden="false" customHeight="false" outlineLevel="0" collapsed="false">
      <c r="A275" s="2" t="n">
        <v>46101</v>
      </c>
      <c r="B275" s="3" t="s">
        <v>423</v>
      </c>
      <c r="C275" s="3" t="s">
        <v>113</v>
      </c>
      <c r="D275" s="3" t="s">
        <v>114</v>
      </c>
      <c r="E275" s="3" t="s">
        <v>25</v>
      </c>
      <c r="F275" s="3" t="s">
        <v>85</v>
      </c>
      <c r="G275" s="3" t="s">
        <v>27</v>
      </c>
      <c r="H275" s="3" t="s">
        <v>28</v>
      </c>
      <c r="I275" s="3" t="s">
        <v>29</v>
      </c>
      <c r="J275" s="3" t="s">
        <v>30</v>
      </c>
      <c r="K275" s="3" t="s">
        <v>119</v>
      </c>
      <c r="L275" s="3" t="s">
        <v>120</v>
      </c>
      <c r="M275" s="3" t="s">
        <v>33</v>
      </c>
      <c r="N275" s="3" t="s">
        <v>33</v>
      </c>
      <c r="O275" s="4" t="n">
        <v>145</v>
      </c>
      <c r="P275" s="3" t="s">
        <v>34</v>
      </c>
      <c r="Q275" s="5" t="n">
        <v>18900</v>
      </c>
      <c r="R275" s="6" t="n">
        <v>0.15</v>
      </c>
      <c r="S275" s="5" t="n">
        <f aca="false">O275*Q275</f>
        <v>2740500</v>
      </c>
      <c r="T275" s="5" t="n">
        <f aca="false">S275*R275</f>
        <v>411075</v>
      </c>
      <c r="U275" s="5" t="n">
        <f aca="false">S275-T275</f>
        <v>2329425</v>
      </c>
      <c r="V275" s="3" t="s">
        <v>35</v>
      </c>
    </row>
    <row r="276" customFormat="false" ht="15" hidden="false" customHeight="false" outlineLevel="0" collapsed="false">
      <c r="A276" s="2" t="n">
        <v>46101</v>
      </c>
      <c r="B276" s="3" t="s">
        <v>424</v>
      </c>
      <c r="C276" s="3" t="s">
        <v>173</v>
      </c>
      <c r="D276" s="3" t="s">
        <v>174</v>
      </c>
      <c r="E276" s="3" t="s">
        <v>76</v>
      </c>
      <c r="F276" s="3" t="s">
        <v>40</v>
      </c>
      <c r="G276" s="3" t="s">
        <v>97</v>
      </c>
      <c r="H276" s="3" t="s">
        <v>41</v>
      </c>
      <c r="I276" s="3" t="s">
        <v>42</v>
      </c>
      <c r="J276" s="3" t="s">
        <v>43</v>
      </c>
      <c r="K276" s="3" t="s">
        <v>108</v>
      </c>
      <c r="L276" s="3" t="s">
        <v>109</v>
      </c>
      <c r="M276" s="3" t="s">
        <v>110</v>
      </c>
      <c r="N276" s="3" t="s">
        <v>111</v>
      </c>
      <c r="O276" s="4" t="n">
        <v>461</v>
      </c>
      <c r="P276" s="3" t="s">
        <v>48</v>
      </c>
      <c r="Q276" s="5" t="n">
        <v>112000</v>
      </c>
      <c r="R276" s="6" t="n">
        <v>0.08</v>
      </c>
      <c r="S276" s="5" t="n">
        <f aca="false">O276*Q276</f>
        <v>51632000</v>
      </c>
      <c r="T276" s="5" t="n">
        <f aca="false">S276*R276</f>
        <v>4130560</v>
      </c>
      <c r="U276" s="5" t="n">
        <f aca="false">S276-T276</f>
        <v>47501440</v>
      </c>
      <c r="V276" s="3" t="s">
        <v>81</v>
      </c>
    </row>
    <row r="277" customFormat="false" ht="15" hidden="false" customHeight="false" outlineLevel="0" collapsed="false">
      <c r="A277" s="2" t="n">
        <v>46101</v>
      </c>
      <c r="B277" s="3" t="s">
        <v>425</v>
      </c>
      <c r="C277" s="3" t="s">
        <v>61</v>
      </c>
      <c r="D277" s="3" t="s">
        <v>62</v>
      </c>
      <c r="E277" s="3" t="s">
        <v>25</v>
      </c>
      <c r="F277" s="3" t="s">
        <v>63</v>
      </c>
      <c r="G277" s="3" t="s">
        <v>27</v>
      </c>
      <c r="H277" s="3" t="s">
        <v>133</v>
      </c>
      <c r="I277" s="3" t="s">
        <v>134</v>
      </c>
      <c r="J277" s="3" t="s">
        <v>135</v>
      </c>
      <c r="K277" s="3" t="s">
        <v>119</v>
      </c>
      <c r="L277" s="3" t="s">
        <v>120</v>
      </c>
      <c r="M277" s="3" t="s">
        <v>33</v>
      </c>
      <c r="N277" s="3" t="s">
        <v>33</v>
      </c>
      <c r="O277" s="4" t="n">
        <v>68</v>
      </c>
      <c r="P277" s="3" t="s">
        <v>34</v>
      </c>
      <c r="Q277" s="5" t="n">
        <v>18900</v>
      </c>
      <c r="R277" s="6" t="n">
        <v>0.15</v>
      </c>
      <c r="S277" s="5" t="n">
        <f aca="false">O277*Q277</f>
        <v>1285200</v>
      </c>
      <c r="T277" s="5" t="n">
        <f aca="false">S277*R277</f>
        <v>192780</v>
      </c>
      <c r="U277" s="5" t="n">
        <f aca="false">S277-T277</f>
        <v>1092420</v>
      </c>
      <c r="V277" s="3" t="s">
        <v>35</v>
      </c>
    </row>
    <row r="278" customFormat="false" ht="15" hidden="false" customHeight="false" outlineLevel="0" collapsed="false">
      <c r="A278" s="2" t="n">
        <v>46101</v>
      </c>
      <c r="B278" s="3" t="s">
        <v>426</v>
      </c>
      <c r="C278" s="3" t="s">
        <v>165</v>
      </c>
      <c r="D278" s="3" t="s">
        <v>166</v>
      </c>
      <c r="E278" s="3" t="s">
        <v>76</v>
      </c>
      <c r="F278" s="3" t="s">
        <v>167</v>
      </c>
      <c r="G278" s="3" t="s">
        <v>86</v>
      </c>
      <c r="H278" s="3" t="s">
        <v>87</v>
      </c>
      <c r="I278" s="3" t="s">
        <v>88</v>
      </c>
      <c r="J278" s="3" t="s">
        <v>89</v>
      </c>
      <c r="K278" s="3" t="s">
        <v>56</v>
      </c>
      <c r="L278" s="3" t="s">
        <v>57</v>
      </c>
      <c r="M278" s="3" t="s">
        <v>58</v>
      </c>
      <c r="N278" s="3" t="s">
        <v>59</v>
      </c>
      <c r="O278" s="4" t="n">
        <v>422</v>
      </c>
      <c r="P278" s="3" t="s">
        <v>48</v>
      </c>
      <c r="Q278" s="5" t="n">
        <v>52800</v>
      </c>
      <c r="R278" s="6" t="n">
        <v>0.1</v>
      </c>
      <c r="S278" s="5" t="n">
        <f aca="false">O278*Q278</f>
        <v>22281600</v>
      </c>
      <c r="T278" s="5" t="n">
        <f aca="false">S278*R278</f>
        <v>2228160</v>
      </c>
      <c r="U278" s="5" t="n">
        <f aca="false">S278-T278</f>
        <v>20053440</v>
      </c>
      <c r="V278" s="3" t="s">
        <v>81</v>
      </c>
    </row>
    <row r="279" customFormat="false" ht="15" hidden="false" customHeight="false" outlineLevel="0" collapsed="false">
      <c r="A279" s="2" t="n">
        <v>46102</v>
      </c>
      <c r="B279" s="3" t="s">
        <v>427</v>
      </c>
      <c r="C279" s="3" t="s">
        <v>188</v>
      </c>
      <c r="D279" s="3" t="s">
        <v>189</v>
      </c>
      <c r="E279" s="3" t="s">
        <v>76</v>
      </c>
      <c r="F279" s="3" t="s">
        <v>85</v>
      </c>
      <c r="G279" s="3" t="s">
        <v>77</v>
      </c>
      <c r="H279" s="3" t="s">
        <v>78</v>
      </c>
      <c r="I279" s="3" t="s">
        <v>79</v>
      </c>
      <c r="J279" s="3" t="s">
        <v>80</v>
      </c>
      <c r="K279" s="3" t="s">
        <v>56</v>
      </c>
      <c r="L279" s="3" t="s">
        <v>57</v>
      </c>
      <c r="M279" s="3" t="s">
        <v>58</v>
      </c>
      <c r="N279" s="3" t="s">
        <v>59</v>
      </c>
      <c r="O279" s="4" t="n">
        <v>135</v>
      </c>
      <c r="P279" s="3" t="s">
        <v>48</v>
      </c>
      <c r="Q279" s="5" t="n">
        <v>52800</v>
      </c>
      <c r="R279" s="6" t="n">
        <v>0.02</v>
      </c>
      <c r="S279" s="5" t="n">
        <f aca="false">O279*Q279</f>
        <v>7128000</v>
      </c>
      <c r="T279" s="5" t="n">
        <f aca="false">S279*R279</f>
        <v>142560</v>
      </c>
      <c r="U279" s="5" t="n">
        <f aca="false">S279-T279</f>
        <v>6985440</v>
      </c>
      <c r="V279" s="3" t="s">
        <v>81</v>
      </c>
    </row>
    <row r="280" customFormat="false" ht="15" hidden="false" customHeight="false" outlineLevel="0" collapsed="false">
      <c r="A280" s="2" t="n">
        <v>46102</v>
      </c>
      <c r="B280" s="3" t="s">
        <v>428</v>
      </c>
      <c r="C280" s="3" t="s">
        <v>137</v>
      </c>
      <c r="D280" s="3" t="s">
        <v>138</v>
      </c>
      <c r="E280" s="3" t="s">
        <v>76</v>
      </c>
      <c r="F280" s="3" t="s">
        <v>40</v>
      </c>
      <c r="G280" s="3" t="s">
        <v>77</v>
      </c>
      <c r="H280" s="3" t="s">
        <v>78</v>
      </c>
      <c r="I280" s="3" t="s">
        <v>79</v>
      </c>
      <c r="J280" s="3" t="s">
        <v>80</v>
      </c>
      <c r="K280" s="3" t="s">
        <v>90</v>
      </c>
      <c r="L280" s="3" t="s">
        <v>91</v>
      </c>
      <c r="M280" s="3" t="s">
        <v>92</v>
      </c>
      <c r="N280" s="3" t="s">
        <v>59</v>
      </c>
      <c r="O280" s="4" t="n">
        <v>446</v>
      </c>
      <c r="P280" s="3" t="s">
        <v>48</v>
      </c>
      <c r="Q280" s="5" t="n">
        <v>96500</v>
      </c>
      <c r="R280" s="6" t="n">
        <v>0.1</v>
      </c>
      <c r="S280" s="5" t="n">
        <f aca="false">O280*Q280</f>
        <v>43039000</v>
      </c>
      <c r="T280" s="5" t="n">
        <f aca="false">S280*R280</f>
        <v>4303900</v>
      </c>
      <c r="U280" s="5" t="n">
        <f aca="false">S280-T280</f>
        <v>38735100</v>
      </c>
      <c r="V280" s="3" t="s">
        <v>81</v>
      </c>
    </row>
    <row r="281" customFormat="false" ht="15" hidden="false" customHeight="false" outlineLevel="0" collapsed="false">
      <c r="A281" s="2" t="n">
        <v>46103</v>
      </c>
      <c r="B281" s="3" t="s">
        <v>429</v>
      </c>
      <c r="C281" s="3" t="s">
        <v>50</v>
      </c>
      <c r="D281" s="3" t="s">
        <v>51</v>
      </c>
      <c r="E281" s="3" t="s">
        <v>25</v>
      </c>
      <c r="F281" s="3" t="s">
        <v>52</v>
      </c>
      <c r="G281" s="3" t="s">
        <v>27</v>
      </c>
      <c r="H281" s="3" t="s">
        <v>28</v>
      </c>
      <c r="I281" s="3" t="s">
        <v>29</v>
      </c>
      <c r="J281" s="3" t="s">
        <v>30</v>
      </c>
      <c r="K281" s="3" t="s">
        <v>144</v>
      </c>
      <c r="L281" s="3" t="s">
        <v>145</v>
      </c>
      <c r="M281" s="3" t="s">
        <v>146</v>
      </c>
      <c r="N281" s="3" t="s">
        <v>111</v>
      </c>
      <c r="O281" s="4" t="n">
        <v>164</v>
      </c>
      <c r="P281" s="3" t="s">
        <v>48</v>
      </c>
      <c r="Q281" s="5" t="n">
        <v>89000</v>
      </c>
      <c r="R281" s="6" t="n">
        <v>0.12</v>
      </c>
      <c r="S281" s="5" t="n">
        <f aca="false">O281*Q281</f>
        <v>14596000</v>
      </c>
      <c r="T281" s="5" t="n">
        <f aca="false">S281*R281</f>
        <v>1751520</v>
      </c>
      <c r="U281" s="5" t="n">
        <f aca="false">S281-T281</f>
        <v>12844480</v>
      </c>
      <c r="V281" s="3" t="s">
        <v>35</v>
      </c>
    </row>
    <row r="282" customFormat="false" ht="15" hidden="false" customHeight="false" outlineLevel="0" collapsed="false">
      <c r="A282" s="2" t="n">
        <v>46103</v>
      </c>
      <c r="B282" s="3" t="s">
        <v>430</v>
      </c>
      <c r="C282" s="3" t="s">
        <v>23</v>
      </c>
      <c r="D282" s="3" t="s">
        <v>24</v>
      </c>
      <c r="E282" s="3" t="s">
        <v>25</v>
      </c>
      <c r="F282" s="3" t="s">
        <v>26</v>
      </c>
      <c r="G282" s="3" t="s">
        <v>27</v>
      </c>
      <c r="H282" s="3" t="s">
        <v>53</v>
      </c>
      <c r="I282" s="3" t="s">
        <v>54</v>
      </c>
      <c r="J282" s="3" t="s">
        <v>55</v>
      </c>
      <c r="K282" s="3" t="s">
        <v>90</v>
      </c>
      <c r="L282" s="3" t="s">
        <v>91</v>
      </c>
      <c r="M282" s="3" t="s">
        <v>92</v>
      </c>
      <c r="N282" s="3" t="s">
        <v>59</v>
      </c>
      <c r="O282" s="4" t="n">
        <v>84</v>
      </c>
      <c r="P282" s="3" t="s">
        <v>48</v>
      </c>
      <c r="Q282" s="5" t="n">
        <v>96500</v>
      </c>
      <c r="R282" s="6" t="n">
        <v>0.15</v>
      </c>
      <c r="S282" s="5" t="n">
        <f aca="false">O282*Q282</f>
        <v>8106000</v>
      </c>
      <c r="T282" s="5" t="n">
        <f aca="false">S282*R282</f>
        <v>1215900</v>
      </c>
      <c r="U282" s="5" t="n">
        <f aca="false">S282-T282</f>
        <v>6890100</v>
      </c>
      <c r="V282" s="3" t="s">
        <v>35</v>
      </c>
    </row>
    <row r="283" customFormat="false" ht="15" hidden="false" customHeight="false" outlineLevel="0" collapsed="false">
      <c r="A283" s="2" t="n">
        <v>46103</v>
      </c>
      <c r="B283" s="3" t="s">
        <v>431</v>
      </c>
      <c r="C283" s="3" t="s">
        <v>141</v>
      </c>
      <c r="D283" s="3" t="s">
        <v>142</v>
      </c>
      <c r="E283" s="3" t="s">
        <v>25</v>
      </c>
      <c r="F283" s="3" t="s">
        <v>143</v>
      </c>
      <c r="G283" s="3" t="s">
        <v>27</v>
      </c>
      <c r="H283" s="3" t="s">
        <v>53</v>
      </c>
      <c r="I283" s="3" t="s">
        <v>54</v>
      </c>
      <c r="J283" s="3" t="s">
        <v>55</v>
      </c>
      <c r="K283" s="3" t="s">
        <v>148</v>
      </c>
      <c r="L283" s="3" t="s">
        <v>149</v>
      </c>
      <c r="M283" s="3" t="s">
        <v>130</v>
      </c>
      <c r="N283" s="3" t="s">
        <v>131</v>
      </c>
      <c r="O283" s="4" t="n">
        <v>92</v>
      </c>
      <c r="P283" s="3" t="s">
        <v>48</v>
      </c>
      <c r="Q283" s="5" t="n">
        <v>78900</v>
      </c>
      <c r="R283" s="6" t="n">
        <v>0.12</v>
      </c>
      <c r="S283" s="5" t="n">
        <f aca="false">O283*Q283</f>
        <v>7258800</v>
      </c>
      <c r="T283" s="5" t="n">
        <f aca="false">S283*R283</f>
        <v>871056</v>
      </c>
      <c r="U283" s="5" t="n">
        <f aca="false">S283-T283</f>
        <v>6387744</v>
      </c>
      <c r="V283" s="3" t="s">
        <v>35</v>
      </c>
    </row>
    <row r="284" customFormat="false" ht="15" hidden="false" customHeight="false" outlineLevel="0" collapsed="false">
      <c r="A284" s="2" t="n">
        <v>46103</v>
      </c>
      <c r="B284" s="3" t="s">
        <v>432</v>
      </c>
      <c r="C284" s="3" t="s">
        <v>188</v>
      </c>
      <c r="D284" s="3" t="s">
        <v>189</v>
      </c>
      <c r="E284" s="3" t="s">
        <v>76</v>
      </c>
      <c r="F284" s="3" t="s">
        <v>85</v>
      </c>
      <c r="G284" s="3" t="s">
        <v>77</v>
      </c>
      <c r="H284" s="3" t="s">
        <v>78</v>
      </c>
      <c r="I284" s="3" t="s">
        <v>79</v>
      </c>
      <c r="J284" s="3" t="s">
        <v>80</v>
      </c>
      <c r="K284" s="3" t="s">
        <v>56</v>
      </c>
      <c r="L284" s="3" t="s">
        <v>57</v>
      </c>
      <c r="M284" s="3" t="s">
        <v>58</v>
      </c>
      <c r="N284" s="3" t="s">
        <v>59</v>
      </c>
      <c r="O284" s="4" t="n">
        <v>239</v>
      </c>
      <c r="P284" s="3" t="s">
        <v>48</v>
      </c>
      <c r="Q284" s="5" t="n">
        <v>52800</v>
      </c>
      <c r="R284" s="6" t="n">
        <v>0.03</v>
      </c>
      <c r="S284" s="5" t="n">
        <f aca="false">O284*Q284</f>
        <v>12619200</v>
      </c>
      <c r="T284" s="5" t="n">
        <f aca="false">S284*R284</f>
        <v>378576</v>
      </c>
      <c r="U284" s="5" t="n">
        <f aca="false">S284-T284</f>
        <v>12240624</v>
      </c>
      <c r="V284" s="3" t="s">
        <v>81</v>
      </c>
    </row>
    <row r="285" customFormat="false" ht="15" hidden="false" customHeight="false" outlineLevel="0" collapsed="false">
      <c r="A285" s="2" t="n">
        <v>46103</v>
      </c>
      <c r="B285" s="3" t="s">
        <v>433</v>
      </c>
      <c r="C285" s="3" t="s">
        <v>23</v>
      </c>
      <c r="D285" s="3" t="s">
        <v>24</v>
      </c>
      <c r="E285" s="3" t="s">
        <v>25</v>
      </c>
      <c r="F285" s="3" t="s">
        <v>26</v>
      </c>
      <c r="G285" s="3" t="s">
        <v>27</v>
      </c>
      <c r="H285" s="3" t="s">
        <v>133</v>
      </c>
      <c r="I285" s="3" t="s">
        <v>134</v>
      </c>
      <c r="J285" s="3" t="s">
        <v>135</v>
      </c>
      <c r="K285" s="3" t="s">
        <v>148</v>
      </c>
      <c r="L285" s="3" t="s">
        <v>149</v>
      </c>
      <c r="M285" s="3" t="s">
        <v>130</v>
      </c>
      <c r="N285" s="3" t="s">
        <v>131</v>
      </c>
      <c r="O285" s="4" t="n">
        <v>176</v>
      </c>
      <c r="P285" s="3" t="s">
        <v>48</v>
      </c>
      <c r="Q285" s="5" t="n">
        <v>78900</v>
      </c>
      <c r="R285" s="6" t="n">
        <v>0.08</v>
      </c>
      <c r="S285" s="5" t="n">
        <f aca="false">O285*Q285</f>
        <v>13886400</v>
      </c>
      <c r="T285" s="5" t="n">
        <f aca="false">S285*R285</f>
        <v>1110912</v>
      </c>
      <c r="U285" s="5" t="n">
        <f aca="false">S285-T285</f>
        <v>12775488</v>
      </c>
      <c r="V285" s="3" t="s">
        <v>35</v>
      </c>
    </row>
    <row r="286" customFormat="false" ht="15" hidden="false" customHeight="false" outlineLevel="0" collapsed="false">
      <c r="A286" s="2" t="n">
        <v>46103</v>
      </c>
      <c r="B286" s="3" t="s">
        <v>434</v>
      </c>
      <c r="C286" s="3" t="s">
        <v>113</v>
      </c>
      <c r="D286" s="3" t="s">
        <v>114</v>
      </c>
      <c r="E286" s="3" t="s">
        <v>25</v>
      </c>
      <c r="F286" s="3" t="s">
        <v>85</v>
      </c>
      <c r="G286" s="3" t="s">
        <v>27</v>
      </c>
      <c r="H286" s="3" t="s">
        <v>28</v>
      </c>
      <c r="I286" s="3" t="s">
        <v>29</v>
      </c>
      <c r="J286" s="3" t="s">
        <v>30</v>
      </c>
      <c r="K286" s="3" t="s">
        <v>148</v>
      </c>
      <c r="L286" s="3" t="s">
        <v>149</v>
      </c>
      <c r="M286" s="3" t="s">
        <v>130</v>
      </c>
      <c r="N286" s="3" t="s">
        <v>131</v>
      </c>
      <c r="O286" s="4" t="n">
        <v>158</v>
      </c>
      <c r="P286" s="3" t="s">
        <v>48</v>
      </c>
      <c r="Q286" s="5" t="n">
        <v>78900</v>
      </c>
      <c r="R286" s="6" t="n">
        <v>0.1</v>
      </c>
      <c r="S286" s="5" t="n">
        <f aca="false">O286*Q286</f>
        <v>12466200</v>
      </c>
      <c r="T286" s="5" t="n">
        <f aca="false">S286*R286</f>
        <v>1246620</v>
      </c>
      <c r="U286" s="5" t="n">
        <f aca="false">S286-T286</f>
        <v>11219580</v>
      </c>
      <c r="V286" s="3" t="s">
        <v>35</v>
      </c>
    </row>
    <row r="287" customFormat="false" ht="15" hidden="false" customHeight="false" outlineLevel="0" collapsed="false">
      <c r="A287" s="2" t="n">
        <v>46103</v>
      </c>
      <c r="B287" s="3" t="s">
        <v>435</v>
      </c>
      <c r="C287" s="3" t="s">
        <v>104</v>
      </c>
      <c r="D287" s="3" t="s">
        <v>105</v>
      </c>
      <c r="E287" s="3" t="s">
        <v>25</v>
      </c>
      <c r="F287" s="3" t="s">
        <v>106</v>
      </c>
      <c r="G287" s="3" t="s">
        <v>27</v>
      </c>
      <c r="H287" s="3" t="s">
        <v>28</v>
      </c>
      <c r="I287" s="3" t="s">
        <v>29</v>
      </c>
      <c r="J287" s="3" t="s">
        <v>30</v>
      </c>
      <c r="K287" s="3" t="s">
        <v>44</v>
      </c>
      <c r="L287" s="3" t="s">
        <v>45</v>
      </c>
      <c r="M287" s="3" t="s">
        <v>46</v>
      </c>
      <c r="N287" s="3" t="s">
        <v>47</v>
      </c>
      <c r="O287" s="4" t="n">
        <v>139</v>
      </c>
      <c r="P287" s="3" t="s">
        <v>48</v>
      </c>
      <c r="Q287" s="5" t="n">
        <v>142000</v>
      </c>
      <c r="R287" s="6" t="n">
        <v>0.1</v>
      </c>
      <c r="S287" s="5" t="n">
        <f aca="false">O287*Q287</f>
        <v>19738000</v>
      </c>
      <c r="T287" s="5" t="n">
        <f aca="false">S287*R287</f>
        <v>1973800</v>
      </c>
      <c r="U287" s="5" t="n">
        <f aca="false">S287-T287</f>
        <v>17764200</v>
      </c>
      <c r="V287" s="3" t="s">
        <v>35</v>
      </c>
    </row>
    <row r="288" customFormat="false" ht="15" hidden="false" customHeight="false" outlineLevel="0" collapsed="false">
      <c r="A288" s="2" t="n">
        <v>46103</v>
      </c>
      <c r="B288" s="3" t="s">
        <v>436</v>
      </c>
      <c r="C288" s="3" t="s">
        <v>188</v>
      </c>
      <c r="D288" s="3" t="s">
        <v>189</v>
      </c>
      <c r="E288" s="3" t="s">
        <v>76</v>
      </c>
      <c r="F288" s="3" t="s">
        <v>85</v>
      </c>
      <c r="G288" s="3" t="s">
        <v>77</v>
      </c>
      <c r="H288" s="3" t="s">
        <v>78</v>
      </c>
      <c r="I288" s="3" t="s">
        <v>79</v>
      </c>
      <c r="J288" s="3" t="s">
        <v>80</v>
      </c>
      <c r="K288" s="3" t="s">
        <v>144</v>
      </c>
      <c r="L288" s="3" t="s">
        <v>145</v>
      </c>
      <c r="M288" s="3" t="s">
        <v>146</v>
      </c>
      <c r="N288" s="3" t="s">
        <v>111</v>
      </c>
      <c r="O288" s="4" t="n">
        <v>535</v>
      </c>
      <c r="P288" s="3" t="s">
        <v>48</v>
      </c>
      <c r="Q288" s="5" t="n">
        <v>89000</v>
      </c>
      <c r="R288" s="6" t="n">
        <v>0.08</v>
      </c>
      <c r="S288" s="5" t="n">
        <f aca="false">O288*Q288</f>
        <v>47615000</v>
      </c>
      <c r="T288" s="5" t="n">
        <f aca="false">S288*R288</f>
        <v>3809200</v>
      </c>
      <c r="U288" s="5" t="n">
        <f aca="false">S288-T288</f>
        <v>43805800</v>
      </c>
      <c r="V288" s="3" t="s">
        <v>81</v>
      </c>
    </row>
    <row r="289" customFormat="false" ht="15" hidden="false" customHeight="false" outlineLevel="0" collapsed="false">
      <c r="A289" s="2" t="n">
        <v>46103</v>
      </c>
      <c r="B289" s="3" t="s">
        <v>437</v>
      </c>
      <c r="C289" s="3" t="s">
        <v>94</v>
      </c>
      <c r="D289" s="3" t="s">
        <v>95</v>
      </c>
      <c r="E289" s="3" t="s">
        <v>76</v>
      </c>
      <c r="F289" s="3" t="s">
        <v>96</v>
      </c>
      <c r="G289" s="3" t="s">
        <v>97</v>
      </c>
      <c r="H289" s="3" t="s">
        <v>68</v>
      </c>
      <c r="I289" s="3" t="s">
        <v>69</v>
      </c>
      <c r="J289" s="3" t="s">
        <v>70</v>
      </c>
      <c r="K289" s="3" t="s">
        <v>108</v>
      </c>
      <c r="L289" s="3" t="s">
        <v>109</v>
      </c>
      <c r="M289" s="3" t="s">
        <v>110</v>
      </c>
      <c r="N289" s="3" t="s">
        <v>111</v>
      </c>
      <c r="O289" s="4" t="n">
        <v>528</v>
      </c>
      <c r="P289" s="3" t="s">
        <v>48</v>
      </c>
      <c r="Q289" s="5" t="n">
        <v>112000</v>
      </c>
      <c r="R289" s="6" t="n">
        <v>0.08</v>
      </c>
      <c r="S289" s="5" t="n">
        <f aca="false">O289*Q289</f>
        <v>59136000</v>
      </c>
      <c r="T289" s="5" t="n">
        <f aca="false">S289*R289</f>
        <v>4730880</v>
      </c>
      <c r="U289" s="5" t="n">
        <f aca="false">S289-T289</f>
        <v>54405120</v>
      </c>
      <c r="V289" s="3" t="s">
        <v>81</v>
      </c>
    </row>
    <row r="290" customFormat="false" ht="15" hidden="false" customHeight="false" outlineLevel="0" collapsed="false">
      <c r="A290" s="2" t="n">
        <v>46103</v>
      </c>
      <c r="B290" s="3" t="s">
        <v>438</v>
      </c>
      <c r="C290" s="3" t="s">
        <v>101</v>
      </c>
      <c r="D290" s="3" t="s">
        <v>102</v>
      </c>
      <c r="E290" s="3" t="s">
        <v>25</v>
      </c>
      <c r="F290" s="3" t="s">
        <v>40</v>
      </c>
      <c r="G290" s="3" t="s">
        <v>27</v>
      </c>
      <c r="H290" s="3" t="s">
        <v>53</v>
      </c>
      <c r="I290" s="3" t="s">
        <v>54</v>
      </c>
      <c r="J290" s="3" t="s">
        <v>55</v>
      </c>
      <c r="K290" s="3" t="s">
        <v>115</v>
      </c>
      <c r="L290" s="3" t="s">
        <v>116</v>
      </c>
      <c r="M290" s="3" t="s">
        <v>92</v>
      </c>
      <c r="N290" s="3" t="s">
        <v>117</v>
      </c>
      <c r="O290" s="4" t="n">
        <v>203</v>
      </c>
      <c r="P290" s="3" t="s">
        <v>48</v>
      </c>
      <c r="Q290" s="5" t="n">
        <v>42300</v>
      </c>
      <c r="R290" s="6" t="n">
        <v>0.08</v>
      </c>
      <c r="S290" s="5" t="n">
        <f aca="false">O290*Q290</f>
        <v>8586900</v>
      </c>
      <c r="T290" s="5" t="n">
        <f aca="false">S290*R290</f>
        <v>686952</v>
      </c>
      <c r="U290" s="5" t="n">
        <f aca="false">S290-T290</f>
        <v>7899948</v>
      </c>
      <c r="V290" s="3" t="s">
        <v>35</v>
      </c>
    </row>
    <row r="291" customFormat="false" ht="15" hidden="false" customHeight="false" outlineLevel="0" collapsed="false">
      <c r="A291" s="2" t="n">
        <v>46104</v>
      </c>
      <c r="B291" s="3" t="s">
        <v>439</v>
      </c>
      <c r="C291" s="3" t="s">
        <v>126</v>
      </c>
      <c r="D291" s="3" t="s">
        <v>127</v>
      </c>
      <c r="E291" s="3" t="s">
        <v>76</v>
      </c>
      <c r="F291" s="3" t="s">
        <v>40</v>
      </c>
      <c r="G291" s="3" t="s">
        <v>77</v>
      </c>
      <c r="H291" s="3" t="s">
        <v>78</v>
      </c>
      <c r="I291" s="3" t="s">
        <v>79</v>
      </c>
      <c r="J291" s="3" t="s">
        <v>80</v>
      </c>
      <c r="K291" s="3" t="s">
        <v>144</v>
      </c>
      <c r="L291" s="3" t="s">
        <v>145</v>
      </c>
      <c r="M291" s="3" t="s">
        <v>146</v>
      </c>
      <c r="N291" s="3" t="s">
        <v>111</v>
      </c>
      <c r="O291" s="4" t="n">
        <v>645</v>
      </c>
      <c r="P291" s="3" t="s">
        <v>48</v>
      </c>
      <c r="Q291" s="5" t="n">
        <v>89000</v>
      </c>
      <c r="R291" s="6" t="n">
        <v>0.1</v>
      </c>
      <c r="S291" s="5" t="n">
        <f aca="false">O291*Q291</f>
        <v>57405000</v>
      </c>
      <c r="T291" s="5" t="n">
        <f aca="false">S291*R291</f>
        <v>5740500</v>
      </c>
      <c r="U291" s="5" t="n">
        <f aca="false">S291-T291</f>
        <v>51664500</v>
      </c>
      <c r="V291" s="3" t="s">
        <v>81</v>
      </c>
    </row>
    <row r="292" customFormat="false" ht="15" hidden="false" customHeight="false" outlineLevel="0" collapsed="false">
      <c r="A292" s="2" t="n">
        <v>46104</v>
      </c>
      <c r="B292" s="3" t="s">
        <v>440</v>
      </c>
      <c r="C292" s="3" t="s">
        <v>188</v>
      </c>
      <c r="D292" s="3" t="s">
        <v>189</v>
      </c>
      <c r="E292" s="3" t="s">
        <v>76</v>
      </c>
      <c r="F292" s="3" t="s">
        <v>85</v>
      </c>
      <c r="G292" s="3" t="s">
        <v>77</v>
      </c>
      <c r="H292" s="3" t="s">
        <v>78</v>
      </c>
      <c r="I292" s="3" t="s">
        <v>79</v>
      </c>
      <c r="J292" s="3" t="s">
        <v>80</v>
      </c>
      <c r="K292" s="3" t="s">
        <v>128</v>
      </c>
      <c r="L292" s="3" t="s">
        <v>129</v>
      </c>
      <c r="M292" s="3" t="s">
        <v>130</v>
      </c>
      <c r="N292" s="3" t="s">
        <v>131</v>
      </c>
      <c r="O292" s="4" t="n">
        <v>550</v>
      </c>
      <c r="P292" s="3" t="s">
        <v>48</v>
      </c>
      <c r="Q292" s="5" t="n">
        <v>84500</v>
      </c>
      <c r="R292" s="6" t="n">
        <v>0.08</v>
      </c>
      <c r="S292" s="5" t="n">
        <f aca="false">O292*Q292</f>
        <v>46475000</v>
      </c>
      <c r="T292" s="5" t="n">
        <f aca="false">S292*R292</f>
        <v>3718000</v>
      </c>
      <c r="U292" s="5" t="n">
        <f aca="false">S292-T292</f>
        <v>42757000</v>
      </c>
      <c r="V292" s="3" t="s">
        <v>81</v>
      </c>
    </row>
    <row r="293" customFormat="false" ht="15" hidden="false" customHeight="false" outlineLevel="0" collapsed="false">
      <c r="A293" s="2" t="n">
        <v>46104</v>
      </c>
      <c r="B293" s="3" t="s">
        <v>441</v>
      </c>
      <c r="C293" s="3" t="s">
        <v>156</v>
      </c>
      <c r="D293" s="3" t="s">
        <v>157</v>
      </c>
      <c r="E293" s="3" t="s">
        <v>76</v>
      </c>
      <c r="F293" s="3" t="s">
        <v>40</v>
      </c>
      <c r="G293" s="3" t="s">
        <v>77</v>
      </c>
      <c r="H293" s="3" t="s">
        <v>78</v>
      </c>
      <c r="I293" s="3" t="s">
        <v>79</v>
      </c>
      <c r="J293" s="3" t="s">
        <v>80</v>
      </c>
      <c r="K293" s="3" t="s">
        <v>162</v>
      </c>
      <c r="L293" s="3" t="s">
        <v>163</v>
      </c>
      <c r="M293" s="3" t="s">
        <v>58</v>
      </c>
      <c r="N293" s="3" t="s">
        <v>59</v>
      </c>
      <c r="O293" s="4" t="n">
        <v>603</v>
      </c>
      <c r="P293" s="3" t="s">
        <v>48</v>
      </c>
      <c r="Q293" s="5" t="n">
        <v>48500</v>
      </c>
      <c r="R293" s="6" t="n">
        <v>0.08</v>
      </c>
      <c r="S293" s="5" t="n">
        <f aca="false">O293*Q293</f>
        <v>29245500</v>
      </c>
      <c r="T293" s="5" t="n">
        <f aca="false">S293*R293</f>
        <v>2339640</v>
      </c>
      <c r="U293" s="5" t="n">
        <f aca="false">S293-T293</f>
        <v>26905860</v>
      </c>
      <c r="V293" s="3" t="s">
        <v>81</v>
      </c>
    </row>
    <row r="294" customFormat="false" ht="15" hidden="false" customHeight="false" outlineLevel="0" collapsed="false">
      <c r="A294" s="2" t="n">
        <v>46104</v>
      </c>
      <c r="B294" s="3" t="s">
        <v>442</v>
      </c>
      <c r="C294" s="3" t="s">
        <v>50</v>
      </c>
      <c r="D294" s="3" t="s">
        <v>51</v>
      </c>
      <c r="E294" s="3" t="s">
        <v>25</v>
      </c>
      <c r="F294" s="3" t="s">
        <v>52</v>
      </c>
      <c r="G294" s="3" t="s">
        <v>27</v>
      </c>
      <c r="H294" s="3" t="s">
        <v>133</v>
      </c>
      <c r="I294" s="3" t="s">
        <v>134</v>
      </c>
      <c r="J294" s="3" t="s">
        <v>135</v>
      </c>
      <c r="K294" s="3" t="s">
        <v>192</v>
      </c>
      <c r="L294" s="3" t="s">
        <v>193</v>
      </c>
      <c r="M294" s="3" t="s">
        <v>46</v>
      </c>
      <c r="N294" s="3" t="s">
        <v>194</v>
      </c>
      <c r="O294" s="4" t="n">
        <v>202</v>
      </c>
      <c r="P294" s="3" t="s">
        <v>48</v>
      </c>
      <c r="Q294" s="5" t="n">
        <v>168000</v>
      </c>
      <c r="R294" s="6" t="n">
        <v>0.08</v>
      </c>
      <c r="S294" s="5" t="n">
        <f aca="false">O294*Q294</f>
        <v>33936000</v>
      </c>
      <c r="T294" s="5" t="n">
        <f aca="false">S294*R294</f>
        <v>2714880</v>
      </c>
      <c r="U294" s="5" t="n">
        <f aca="false">S294-T294</f>
        <v>31221120</v>
      </c>
      <c r="V294" s="3" t="s">
        <v>35</v>
      </c>
    </row>
    <row r="295" customFormat="false" ht="15" hidden="false" customHeight="false" outlineLevel="0" collapsed="false">
      <c r="A295" s="2" t="n">
        <v>46105</v>
      </c>
      <c r="B295" s="3" t="s">
        <v>443</v>
      </c>
      <c r="C295" s="3" t="s">
        <v>122</v>
      </c>
      <c r="D295" s="3" t="s">
        <v>123</v>
      </c>
      <c r="E295" s="3" t="s">
        <v>76</v>
      </c>
      <c r="F295" s="3" t="s">
        <v>124</v>
      </c>
      <c r="G295" s="3" t="s">
        <v>86</v>
      </c>
      <c r="H295" s="3" t="s">
        <v>87</v>
      </c>
      <c r="I295" s="3" t="s">
        <v>88</v>
      </c>
      <c r="J295" s="3" t="s">
        <v>89</v>
      </c>
      <c r="K295" s="3" t="s">
        <v>119</v>
      </c>
      <c r="L295" s="3" t="s">
        <v>120</v>
      </c>
      <c r="M295" s="3" t="s">
        <v>33</v>
      </c>
      <c r="N295" s="3" t="s">
        <v>33</v>
      </c>
      <c r="O295" s="4" t="n">
        <v>46</v>
      </c>
      <c r="P295" s="3" t="s">
        <v>34</v>
      </c>
      <c r="Q295" s="5" t="n">
        <v>18900</v>
      </c>
      <c r="R295" s="6" t="n">
        <v>0</v>
      </c>
      <c r="S295" s="5" t="n">
        <f aca="false">O295*Q295</f>
        <v>869400</v>
      </c>
      <c r="T295" s="5" t="n">
        <f aca="false">S295*R295</f>
        <v>0</v>
      </c>
      <c r="U295" s="5" t="n">
        <f aca="false">S295-T295</f>
        <v>869400</v>
      </c>
      <c r="V295" s="3" t="s">
        <v>81</v>
      </c>
    </row>
    <row r="296" customFormat="false" ht="15" hidden="false" customHeight="false" outlineLevel="0" collapsed="false">
      <c r="A296" s="2" t="n">
        <v>46105</v>
      </c>
      <c r="B296" s="3" t="s">
        <v>444</v>
      </c>
      <c r="C296" s="3" t="s">
        <v>122</v>
      </c>
      <c r="D296" s="3" t="s">
        <v>123</v>
      </c>
      <c r="E296" s="3" t="s">
        <v>76</v>
      </c>
      <c r="F296" s="3" t="s">
        <v>124</v>
      </c>
      <c r="G296" s="3" t="s">
        <v>86</v>
      </c>
      <c r="H296" s="3" t="s">
        <v>87</v>
      </c>
      <c r="I296" s="3" t="s">
        <v>88</v>
      </c>
      <c r="J296" s="3" t="s">
        <v>89</v>
      </c>
      <c r="K296" s="3" t="s">
        <v>162</v>
      </c>
      <c r="L296" s="3" t="s">
        <v>163</v>
      </c>
      <c r="M296" s="3" t="s">
        <v>58</v>
      </c>
      <c r="N296" s="3" t="s">
        <v>59</v>
      </c>
      <c r="O296" s="4" t="n">
        <v>203</v>
      </c>
      <c r="P296" s="3" t="s">
        <v>48</v>
      </c>
      <c r="Q296" s="5" t="n">
        <v>48500</v>
      </c>
      <c r="R296" s="6" t="n">
        <v>0.02</v>
      </c>
      <c r="S296" s="5" t="n">
        <f aca="false">O296*Q296</f>
        <v>9845500</v>
      </c>
      <c r="T296" s="5" t="n">
        <f aca="false">S296*R296</f>
        <v>196910</v>
      </c>
      <c r="U296" s="5" t="n">
        <f aca="false">S296-T296</f>
        <v>9648590</v>
      </c>
      <c r="V296" s="3" t="s">
        <v>81</v>
      </c>
    </row>
    <row r="297" customFormat="false" ht="15" hidden="false" customHeight="false" outlineLevel="0" collapsed="false">
      <c r="A297" s="2" t="n">
        <v>46105</v>
      </c>
      <c r="B297" s="3" t="s">
        <v>445</v>
      </c>
      <c r="C297" s="3" t="s">
        <v>101</v>
      </c>
      <c r="D297" s="3" t="s">
        <v>102</v>
      </c>
      <c r="E297" s="3" t="s">
        <v>25</v>
      </c>
      <c r="F297" s="3" t="s">
        <v>40</v>
      </c>
      <c r="G297" s="3" t="s">
        <v>27</v>
      </c>
      <c r="H297" s="3" t="s">
        <v>53</v>
      </c>
      <c r="I297" s="3" t="s">
        <v>54</v>
      </c>
      <c r="J297" s="3" t="s">
        <v>55</v>
      </c>
      <c r="K297" s="3" t="s">
        <v>119</v>
      </c>
      <c r="L297" s="3" t="s">
        <v>120</v>
      </c>
      <c r="M297" s="3" t="s">
        <v>33</v>
      </c>
      <c r="N297" s="3" t="s">
        <v>33</v>
      </c>
      <c r="O297" s="4" t="n">
        <v>187</v>
      </c>
      <c r="P297" s="3" t="s">
        <v>34</v>
      </c>
      <c r="Q297" s="5" t="n">
        <v>18900</v>
      </c>
      <c r="R297" s="6" t="n">
        <v>0.08</v>
      </c>
      <c r="S297" s="5" t="n">
        <f aca="false">O297*Q297</f>
        <v>3534300</v>
      </c>
      <c r="T297" s="5" t="n">
        <f aca="false">S297*R297</f>
        <v>282744</v>
      </c>
      <c r="U297" s="5" t="n">
        <f aca="false">S297-T297</f>
        <v>3251556</v>
      </c>
      <c r="V297" s="3" t="s">
        <v>35</v>
      </c>
    </row>
    <row r="298" customFormat="false" ht="15" hidden="false" customHeight="false" outlineLevel="0" collapsed="false">
      <c r="A298" s="2" t="n">
        <v>46105</v>
      </c>
      <c r="B298" s="3" t="s">
        <v>446</v>
      </c>
      <c r="C298" s="3" t="s">
        <v>101</v>
      </c>
      <c r="D298" s="3" t="s">
        <v>102</v>
      </c>
      <c r="E298" s="3" t="s">
        <v>25</v>
      </c>
      <c r="F298" s="3" t="s">
        <v>40</v>
      </c>
      <c r="G298" s="3" t="s">
        <v>27</v>
      </c>
      <c r="H298" s="3" t="s">
        <v>53</v>
      </c>
      <c r="I298" s="3" t="s">
        <v>54</v>
      </c>
      <c r="J298" s="3" t="s">
        <v>55</v>
      </c>
      <c r="K298" s="3" t="s">
        <v>56</v>
      </c>
      <c r="L298" s="3" t="s">
        <v>57</v>
      </c>
      <c r="M298" s="3" t="s">
        <v>58</v>
      </c>
      <c r="N298" s="3" t="s">
        <v>59</v>
      </c>
      <c r="O298" s="4" t="n">
        <v>153</v>
      </c>
      <c r="P298" s="3" t="s">
        <v>48</v>
      </c>
      <c r="Q298" s="5" t="n">
        <v>52800</v>
      </c>
      <c r="R298" s="6" t="n">
        <v>0.1</v>
      </c>
      <c r="S298" s="5" t="n">
        <f aca="false">O298*Q298</f>
        <v>8078400</v>
      </c>
      <c r="T298" s="5" t="n">
        <f aca="false">S298*R298</f>
        <v>807840</v>
      </c>
      <c r="U298" s="5" t="n">
        <f aca="false">S298-T298</f>
        <v>7270560</v>
      </c>
      <c r="V298" s="3" t="s">
        <v>35</v>
      </c>
    </row>
    <row r="299" customFormat="false" ht="15" hidden="false" customHeight="false" outlineLevel="0" collapsed="false">
      <c r="A299" s="2" t="n">
        <v>46105</v>
      </c>
      <c r="B299" s="3" t="s">
        <v>447</v>
      </c>
      <c r="C299" s="3" t="s">
        <v>230</v>
      </c>
      <c r="D299" s="3" t="s">
        <v>231</v>
      </c>
      <c r="E299" s="3" t="s">
        <v>76</v>
      </c>
      <c r="F299" s="3" t="s">
        <v>232</v>
      </c>
      <c r="G299" s="3" t="s">
        <v>86</v>
      </c>
      <c r="H299" s="3" t="s">
        <v>87</v>
      </c>
      <c r="I299" s="3" t="s">
        <v>88</v>
      </c>
      <c r="J299" s="3" t="s">
        <v>89</v>
      </c>
      <c r="K299" s="3" t="s">
        <v>115</v>
      </c>
      <c r="L299" s="3" t="s">
        <v>116</v>
      </c>
      <c r="M299" s="3" t="s">
        <v>92</v>
      </c>
      <c r="N299" s="3" t="s">
        <v>117</v>
      </c>
      <c r="O299" s="4" t="n">
        <v>448</v>
      </c>
      <c r="P299" s="3" t="s">
        <v>48</v>
      </c>
      <c r="Q299" s="5" t="n">
        <v>42300</v>
      </c>
      <c r="R299" s="6" t="n">
        <v>0.08</v>
      </c>
      <c r="S299" s="5" t="n">
        <f aca="false">O299*Q299</f>
        <v>18950400</v>
      </c>
      <c r="T299" s="5" t="n">
        <f aca="false">S299*R299</f>
        <v>1516032</v>
      </c>
      <c r="U299" s="5" t="n">
        <f aca="false">S299-T299</f>
        <v>17434368</v>
      </c>
      <c r="V299" s="3" t="s">
        <v>81</v>
      </c>
    </row>
    <row r="300" customFormat="false" ht="15" hidden="false" customHeight="false" outlineLevel="0" collapsed="false">
      <c r="A300" s="2" t="n">
        <v>46105</v>
      </c>
      <c r="B300" s="3" t="s">
        <v>448</v>
      </c>
      <c r="C300" s="3" t="s">
        <v>113</v>
      </c>
      <c r="D300" s="3" t="s">
        <v>114</v>
      </c>
      <c r="E300" s="3" t="s">
        <v>25</v>
      </c>
      <c r="F300" s="3" t="s">
        <v>85</v>
      </c>
      <c r="G300" s="3" t="s">
        <v>27</v>
      </c>
      <c r="H300" s="3" t="s">
        <v>133</v>
      </c>
      <c r="I300" s="3" t="s">
        <v>134</v>
      </c>
      <c r="J300" s="3" t="s">
        <v>135</v>
      </c>
      <c r="K300" s="3" t="s">
        <v>128</v>
      </c>
      <c r="L300" s="3" t="s">
        <v>129</v>
      </c>
      <c r="M300" s="3" t="s">
        <v>130</v>
      </c>
      <c r="N300" s="3" t="s">
        <v>131</v>
      </c>
      <c r="O300" s="4" t="n">
        <v>141</v>
      </c>
      <c r="P300" s="3" t="s">
        <v>48</v>
      </c>
      <c r="Q300" s="5" t="n">
        <v>84500</v>
      </c>
      <c r="R300" s="6" t="n">
        <v>0.12</v>
      </c>
      <c r="S300" s="5" t="n">
        <f aca="false">O300*Q300</f>
        <v>11914500</v>
      </c>
      <c r="T300" s="5" t="n">
        <f aca="false">S300*R300</f>
        <v>1429740</v>
      </c>
      <c r="U300" s="5" t="n">
        <f aca="false">S300-T300</f>
        <v>10484760</v>
      </c>
      <c r="V300" s="3" t="s">
        <v>35</v>
      </c>
    </row>
    <row r="301" customFormat="false" ht="15" hidden="false" customHeight="false" outlineLevel="0" collapsed="false">
      <c r="A301" s="2" t="n">
        <v>46106</v>
      </c>
      <c r="B301" s="3" t="s">
        <v>449</v>
      </c>
      <c r="C301" s="3" t="s">
        <v>94</v>
      </c>
      <c r="D301" s="3" t="s">
        <v>95</v>
      </c>
      <c r="E301" s="3" t="s">
        <v>76</v>
      </c>
      <c r="F301" s="3" t="s">
        <v>96</v>
      </c>
      <c r="G301" s="3" t="s">
        <v>97</v>
      </c>
      <c r="H301" s="3" t="s">
        <v>68</v>
      </c>
      <c r="I301" s="3" t="s">
        <v>69</v>
      </c>
      <c r="J301" s="3" t="s">
        <v>70</v>
      </c>
      <c r="K301" s="3" t="s">
        <v>144</v>
      </c>
      <c r="L301" s="3" t="s">
        <v>145</v>
      </c>
      <c r="M301" s="3" t="s">
        <v>146</v>
      </c>
      <c r="N301" s="3" t="s">
        <v>111</v>
      </c>
      <c r="O301" s="4" t="n">
        <v>564</v>
      </c>
      <c r="P301" s="3" t="s">
        <v>48</v>
      </c>
      <c r="Q301" s="5" t="n">
        <v>89000</v>
      </c>
      <c r="R301" s="6" t="n">
        <v>0.05</v>
      </c>
      <c r="S301" s="5" t="n">
        <f aca="false">O301*Q301</f>
        <v>50196000</v>
      </c>
      <c r="T301" s="5" t="n">
        <f aca="false">S301*R301</f>
        <v>2509800</v>
      </c>
      <c r="U301" s="5" t="n">
        <f aca="false">S301-T301</f>
        <v>47686200</v>
      </c>
      <c r="V301" s="3" t="s">
        <v>81</v>
      </c>
    </row>
    <row r="302" customFormat="false" ht="15" hidden="false" customHeight="false" outlineLevel="0" collapsed="false">
      <c r="A302" s="2" t="n">
        <v>46106</v>
      </c>
      <c r="B302" s="3" t="s">
        <v>450</v>
      </c>
      <c r="C302" s="3" t="s">
        <v>94</v>
      </c>
      <c r="D302" s="3" t="s">
        <v>95</v>
      </c>
      <c r="E302" s="3" t="s">
        <v>76</v>
      </c>
      <c r="F302" s="3" t="s">
        <v>96</v>
      </c>
      <c r="G302" s="3" t="s">
        <v>97</v>
      </c>
      <c r="H302" s="3" t="s">
        <v>68</v>
      </c>
      <c r="I302" s="3" t="s">
        <v>69</v>
      </c>
      <c r="J302" s="3" t="s">
        <v>70</v>
      </c>
      <c r="K302" s="3" t="s">
        <v>128</v>
      </c>
      <c r="L302" s="3" t="s">
        <v>129</v>
      </c>
      <c r="M302" s="3" t="s">
        <v>130</v>
      </c>
      <c r="N302" s="3" t="s">
        <v>131</v>
      </c>
      <c r="O302" s="4" t="n">
        <v>323</v>
      </c>
      <c r="P302" s="3" t="s">
        <v>48</v>
      </c>
      <c r="Q302" s="5" t="n">
        <v>84500</v>
      </c>
      <c r="R302" s="6" t="n">
        <v>0.05</v>
      </c>
      <c r="S302" s="5" t="n">
        <f aca="false">O302*Q302</f>
        <v>27293500</v>
      </c>
      <c r="T302" s="5" t="n">
        <f aca="false">S302*R302</f>
        <v>1364675</v>
      </c>
      <c r="U302" s="5" t="n">
        <f aca="false">S302-T302</f>
        <v>25928825</v>
      </c>
      <c r="V302" s="3" t="s">
        <v>81</v>
      </c>
    </row>
    <row r="303" customFormat="false" ht="15" hidden="false" customHeight="false" outlineLevel="0" collapsed="false">
      <c r="A303" s="2" t="n">
        <v>46106</v>
      </c>
      <c r="B303" s="3" t="s">
        <v>451</v>
      </c>
      <c r="C303" s="3" t="s">
        <v>141</v>
      </c>
      <c r="D303" s="3" t="s">
        <v>142</v>
      </c>
      <c r="E303" s="3" t="s">
        <v>25</v>
      </c>
      <c r="F303" s="3" t="s">
        <v>143</v>
      </c>
      <c r="G303" s="3" t="s">
        <v>27</v>
      </c>
      <c r="H303" s="3" t="s">
        <v>53</v>
      </c>
      <c r="I303" s="3" t="s">
        <v>54</v>
      </c>
      <c r="J303" s="3" t="s">
        <v>55</v>
      </c>
      <c r="K303" s="3" t="s">
        <v>31</v>
      </c>
      <c r="L303" s="3" t="s">
        <v>32</v>
      </c>
      <c r="M303" s="3" t="s">
        <v>33</v>
      </c>
      <c r="N303" s="3" t="s">
        <v>33</v>
      </c>
      <c r="O303" s="4" t="n">
        <v>128</v>
      </c>
      <c r="P303" s="3" t="s">
        <v>34</v>
      </c>
      <c r="Q303" s="5" t="n">
        <v>34200</v>
      </c>
      <c r="R303" s="6" t="n">
        <v>0.08</v>
      </c>
      <c r="S303" s="5" t="n">
        <f aca="false">O303*Q303</f>
        <v>4377600</v>
      </c>
      <c r="T303" s="5" t="n">
        <f aca="false">S303*R303</f>
        <v>350208</v>
      </c>
      <c r="U303" s="5" t="n">
        <f aca="false">S303-T303</f>
        <v>4027392</v>
      </c>
      <c r="V303" s="3" t="s">
        <v>35</v>
      </c>
    </row>
    <row r="304" customFormat="false" ht="15" hidden="false" customHeight="false" outlineLevel="0" collapsed="false">
      <c r="A304" s="2" t="n">
        <v>46106</v>
      </c>
      <c r="B304" s="3" t="s">
        <v>452</v>
      </c>
      <c r="C304" s="3" t="s">
        <v>50</v>
      </c>
      <c r="D304" s="3" t="s">
        <v>51</v>
      </c>
      <c r="E304" s="3" t="s">
        <v>25</v>
      </c>
      <c r="F304" s="3" t="s">
        <v>52</v>
      </c>
      <c r="G304" s="3" t="s">
        <v>27</v>
      </c>
      <c r="H304" s="3" t="s">
        <v>133</v>
      </c>
      <c r="I304" s="3" t="s">
        <v>134</v>
      </c>
      <c r="J304" s="3" t="s">
        <v>135</v>
      </c>
      <c r="K304" s="3" t="s">
        <v>148</v>
      </c>
      <c r="L304" s="3" t="s">
        <v>149</v>
      </c>
      <c r="M304" s="3" t="s">
        <v>130</v>
      </c>
      <c r="N304" s="3" t="s">
        <v>131</v>
      </c>
      <c r="O304" s="4" t="n">
        <v>86</v>
      </c>
      <c r="P304" s="3" t="s">
        <v>48</v>
      </c>
      <c r="Q304" s="5" t="n">
        <v>78900</v>
      </c>
      <c r="R304" s="6" t="n">
        <v>0.12</v>
      </c>
      <c r="S304" s="5" t="n">
        <f aca="false">O304*Q304</f>
        <v>6785400</v>
      </c>
      <c r="T304" s="5" t="n">
        <f aca="false">S304*R304</f>
        <v>814248</v>
      </c>
      <c r="U304" s="5" t="n">
        <f aca="false">S304-T304</f>
        <v>5971152</v>
      </c>
      <c r="V304" s="3" t="s">
        <v>35</v>
      </c>
    </row>
    <row r="305" customFormat="false" ht="15" hidden="false" customHeight="false" outlineLevel="0" collapsed="false">
      <c r="A305" s="2" t="n">
        <v>46106</v>
      </c>
      <c r="B305" s="3" t="s">
        <v>453</v>
      </c>
      <c r="C305" s="3" t="s">
        <v>104</v>
      </c>
      <c r="D305" s="3" t="s">
        <v>105</v>
      </c>
      <c r="E305" s="3" t="s">
        <v>25</v>
      </c>
      <c r="F305" s="3" t="s">
        <v>106</v>
      </c>
      <c r="G305" s="3" t="s">
        <v>27</v>
      </c>
      <c r="H305" s="3" t="s">
        <v>133</v>
      </c>
      <c r="I305" s="3" t="s">
        <v>134</v>
      </c>
      <c r="J305" s="3" t="s">
        <v>135</v>
      </c>
      <c r="K305" s="3" t="s">
        <v>148</v>
      </c>
      <c r="L305" s="3" t="s">
        <v>149</v>
      </c>
      <c r="M305" s="3" t="s">
        <v>130</v>
      </c>
      <c r="N305" s="3" t="s">
        <v>131</v>
      </c>
      <c r="O305" s="4" t="n">
        <v>50</v>
      </c>
      <c r="P305" s="3" t="s">
        <v>48</v>
      </c>
      <c r="Q305" s="5" t="n">
        <v>78900</v>
      </c>
      <c r="R305" s="6" t="n">
        <v>0.1</v>
      </c>
      <c r="S305" s="5" t="n">
        <f aca="false">O305*Q305</f>
        <v>3945000</v>
      </c>
      <c r="T305" s="5" t="n">
        <f aca="false">S305*R305</f>
        <v>394500</v>
      </c>
      <c r="U305" s="5" t="n">
        <f aca="false">S305-T305</f>
        <v>3550500</v>
      </c>
      <c r="V305" s="3" t="s">
        <v>35</v>
      </c>
    </row>
    <row r="306" customFormat="false" ht="15" hidden="false" customHeight="false" outlineLevel="0" collapsed="false">
      <c r="A306" s="2" t="n">
        <v>46106</v>
      </c>
      <c r="B306" s="3" t="s">
        <v>454</v>
      </c>
      <c r="C306" s="3" t="s">
        <v>50</v>
      </c>
      <c r="D306" s="3" t="s">
        <v>51</v>
      </c>
      <c r="E306" s="3" t="s">
        <v>25</v>
      </c>
      <c r="F306" s="3" t="s">
        <v>52</v>
      </c>
      <c r="G306" s="3" t="s">
        <v>27</v>
      </c>
      <c r="H306" s="3" t="s">
        <v>28</v>
      </c>
      <c r="I306" s="3" t="s">
        <v>29</v>
      </c>
      <c r="J306" s="3" t="s">
        <v>30</v>
      </c>
      <c r="K306" s="3" t="s">
        <v>31</v>
      </c>
      <c r="L306" s="3" t="s">
        <v>32</v>
      </c>
      <c r="M306" s="3" t="s">
        <v>33</v>
      </c>
      <c r="N306" s="3" t="s">
        <v>33</v>
      </c>
      <c r="O306" s="4" t="n">
        <v>73</v>
      </c>
      <c r="P306" s="3" t="s">
        <v>34</v>
      </c>
      <c r="Q306" s="5" t="n">
        <v>34200</v>
      </c>
      <c r="R306" s="6" t="n">
        <v>0.1</v>
      </c>
      <c r="S306" s="5" t="n">
        <f aca="false">O306*Q306</f>
        <v>2496600</v>
      </c>
      <c r="T306" s="5" t="n">
        <f aca="false">S306*R306</f>
        <v>249660</v>
      </c>
      <c r="U306" s="5" t="n">
        <f aca="false">S306-T306</f>
        <v>2246940</v>
      </c>
      <c r="V306" s="3" t="s">
        <v>35</v>
      </c>
    </row>
    <row r="307" customFormat="false" ht="15" hidden="false" customHeight="false" outlineLevel="0" collapsed="false">
      <c r="A307" s="2" t="n">
        <v>46107</v>
      </c>
      <c r="B307" s="3" t="s">
        <v>455</v>
      </c>
      <c r="C307" s="3" t="s">
        <v>37</v>
      </c>
      <c r="D307" s="3" t="s">
        <v>38</v>
      </c>
      <c r="E307" s="3" t="s">
        <v>39</v>
      </c>
      <c r="F307" s="3" t="s">
        <v>40</v>
      </c>
      <c r="G307" s="3" t="s">
        <v>39</v>
      </c>
      <c r="H307" s="3" t="s">
        <v>68</v>
      </c>
      <c r="I307" s="3" t="s">
        <v>69</v>
      </c>
      <c r="J307" s="3" t="s">
        <v>70</v>
      </c>
      <c r="K307" s="3" t="s">
        <v>115</v>
      </c>
      <c r="L307" s="3" t="s">
        <v>116</v>
      </c>
      <c r="M307" s="3" t="s">
        <v>92</v>
      </c>
      <c r="N307" s="3" t="s">
        <v>117</v>
      </c>
      <c r="O307" s="4" t="n">
        <v>109</v>
      </c>
      <c r="P307" s="3" t="s">
        <v>48</v>
      </c>
      <c r="Q307" s="5" t="n">
        <v>42300</v>
      </c>
      <c r="R307" s="6" t="n">
        <v>0.03</v>
      </c>
      <c r="S307" s="5" t="n">
        <f aca="false">O307*Q307</f>
        <v>4610700</v>
      </c>
      <c r="T307" s="5" t="n">
        <f aca="false">S307*R307</f>
        <v>138321</v>
      </c>
      <c r="U307" s="5" t="n">
        <f aca="false">S307-T307</f>
        <v>4472379</v>
      </c>
      <c r="V307" s="3" t="s">
        <v>39</v>
      </c>
    </row>
    <row r="308" customFormat="false" ht="15" hidden="false" customHeight="false" outlineLevel="0" collapsed="false">
      <c r="A308" s="2" t="n">
        <v>46107</v>
      </c>
      <c r="B308" s="3" t="s">
        <v>456</v>
      </c>
      <c r="C308" s="3" t="s">
        <v>141</v>
      </c>
      <c r="D308" s="3" t="s">
        <v>142</v>
      </c>
      <c r="E308" s="3" t="s">
        <v>25</v>
      </c>
      <c r="F308" s="3" t="s">
        <v>143</v>
      </c>
      <c r="G308" s="3" t="s">
        <v>27</v>
      </c>
      <c r="H308" s="3" t="s">
        <v>133</v>
      </c>
      <c r="I308" s="3" t="s">
        <v>134</v>
      </c>
      <c r="J308" s="3" t="s">
        <v>135</v>
      </c>
      <c r="K308" s="3" t="s">
        <v>64</v>
      </c>
      <c r="L308" s="3" t="s">
        <v>65</v>
      </c>
      <c r="M308" s="3" t="s">
        <v>33</v>
      </c>
      <c r="N308" s="3" t="s">
        <v>33</v>
      </c>
      <c r="O308" s="4" t="n">
        <v>225</v>
      </c>
      <c r="P308" s="3" t="s">
        <v>66</v>
      </c>
      <c r="Q308" s="5" t="n">
        <v>28500</v>
      </c>
      <c r="R308" s="6" t="n">
        <v>0.12</v>
      </c>
      <c r="S308" s="5" t="n">
        <f aca="false">O308*Q308</f>
        <v>6412500</v>
      </c>
      <c r="T308" s="5" t="n">
        <f aca="false">S308*R308</f>
        <v>769500</v>
      </c>
      <c r="U308" s="5" t="n">
        <f aca="false">S308-T308</f>
        <v>5643000</v>
      </c>
      <c r="V308" s="3" t="s">
        <v>35</v>
      </c>
    </row>
    <row r="309" customFormat="false" ht="15" hidden="false" customHeight="false" outlineLevel="0" collapsed="false">
      <c r="A309" s="2" t="n">
        <v>46107</v>
      </c>
      <c r="B309" s="3" t="s">
        <v>457</v>
      </c>
      <c r="C309" s="3" t="s">
        <v>156</v>
      </c>
      <c r="D309" s="3" t="s">
        <v>157</v>
      </c>
      <c r="E309" s="3" t="s">
        <v>76</v>
      </c>
      <c r="F309" s="3" t="s">
        <v>40</v>
      </c>
      <c r="G309" s="3" t="s">
        <v>77</v>
      </c>
      <c r="H309" s="3" t="s">
        <v>78</v>
      </c>
      <c r="I309" s="3" t="s">
        <v>79</v>
      </c>
      <c r="J309" s="3" t="s">
        <v>80</v>
      </c>
      <c r="K309" s="3" t="s">
        <v>56</v>
      </c>
      <c r="L309" s="3" t="s">
        <v>57</v>
      </c>
      <c r="M309" s="3" t="s">
        <v>58</v>
      </c>
      <c r="N309" s="3" t="s">
        <v>59</v>
      </c>
      <c r="O309" s="4" t="n">
        <v>395</v>
      </c>
      <c r="P309" s="3" t="s">
        <v>48</v>
      </c>
      <c r="Q309" s="5" t="n">
        <v>52800</v>
      </c>
      <c r="R309" s="6" t="n">
        <v>0.08</v>
      </c>
      <c r="S309" s="5" t="n">
        <f aca="false">O309*Q309</f>
        <v>20856000</v>
      </c>
      <c r="T309" s="5" t="n">
        <f aca="false">S309*R309</f>
        <v>1668480</v>
      </c>
      <c r="U309" s="5" t="n">
        <f aca="false">S309-T309</f>
        <v>19187520</v>
      </c>
      <c r="V309" s="3" t="s">
        <v>81</v>
      </c>
    </row>
    <row r="310" customFormat="false" ht="15" hidden="false" customHeight="false" outlineLevel="0" collapsed="false">
      <c r="A310" s="2" t="n">
        <v>46107</v>
      </c>
      <c r="B310" s="3" t="s">
        <v>458</v>
      </c>
      <c r="C310" s="3" t="s">
        <v>37</v>
      </c>
      <c r="D310" s="3" t="s">
        <v>38</v>
      </c>
      <c r="E310" s="3" t="s">
        <v>39</v>
      </c>
      <c r="F310" s="3" t="s">
        <v>40</v>
      </c>
      <c r="G310" s="3" t="s">
        <v>39</v>
      </c>
      <c r="H310" s="3" t="s">
        <v>41</v>
      </c>
      <c r="I310" s="3" t="s">
        <v>42</v>
      </c>
      <c r="J310" s="3" t="s">
        <v>43</v>
      </c>
      <c r="K310" s="3" t="s">
        <v>162</v>
      </c>
      <c r="L310" s="3" t="s">
        <v>163</v>
      </c>
      <c r="M310" s="3" t="s">
        <v>58</v>
      </c>
      <c r="N310" s="3" t="s">
        <v>59</v>
      </c>
      <c r="O310" s="4" t="n">
        <v>191</v>
      </c>
      <c r="P310" s="3" t="s">
        <v>48</v>
      </c>
      <c r="Q310" s="5" t="n">
        <v>48500</v>
      </c>
      <c r="R310" s="6" t="n">
        <v>0.05</v>
      </c>
      <c r="S310" s="5" t="n">
        <f aca="false">O310*Q310</f>
        <v>9263500</v>
      </c>
      <c r="T310" s="5" t="n">
        <f aca="false">S310*R310</f>
        <v>463175</v>
      </c>
      <c r="U310" s="5" t="n">
        <f aca="false">S310-T310</f>
        <v>8800325</v>
      </c>
      <c r="V310" s="3" t="s">
        <v>39</v>
      </c>
    </row>
    <row r="311" customFormat="false" ht="15" hidden="false" customHeight="false" outlineLevel="0" collapsed="false">
      <c r="A311" s="2" t="n">
        <v>46107</v>
      </c>
      <c r="B311" s="3" t="s">
        <v>459</v>
      </c>
      <c r="C311" s="3" t="s">
        <v>23</v>
      </c>
      <c r="D311" s="3" t="s">
        <v>24</v>
      </c>
      <c r="E311" s="3" t="s">
        <v>25</v>
      </c>
      <c r="F311" s="3" t="s">
        <v>26</v>
      </c>
      <c r="G311" s="3" t="s">
        <v>27</v>
      </c>
      <c r="H311" s="3" t="s">
        <v>133</v>
      </c>
      <c r="I311" s="3" t="s">
        <v>134</v>
      </c>
      <c r="J311" s="3" t="s">
        <v>135</v>
      </c>
      <c r="K311" s="3" t="s">
        <v>128</v>
      </c>
      <c r="L311" s="3" t="s">
        <v>129</v>
      </c>
      <c r="M311" s="3" t="s">
        <v>130</v>
      </c>
      <c r="N311" s="3" t="s">
        <v>131</v>
      </c>
      <c r="O311" s="4" t="n">
        <v>68</v>
      </c>
      <c r="P311" s="3" t="s">
        <v>48</v>
      </c>
      <c r="Q311" s="5" t="n">
        <v>84500</v>
      </c>
      <c r="R311" s="6" t="n">
        <v>0.12</v>
      </c>
      <c r="S311" s="5" t="n">
        <f aca="false">O311*Q311</f>
        <v>5746000</v>
      </c>
      <c r="T311" s="5" t="n">
        <f aca="false">S311*R311</f>
        <v>689520</v>
      </c>
      <c r="U311" s="5" t="n">
        <f aca="false">S311-T311</f>
        <v>5056480</v>
      </c>
      <c r="V311" s="3" t="s">
        <v>35</v>
      </c>
    </row>
    <row r="312" customFormat="false" ht="15" hidden="false" customHeight="false" outlineLevel="0" collapsed="false">
      <c r="A312" s="2" t="n">
        <v>46107</v>
      </c>
      <c r="B312" s="3" t="s">
        <v>460</v>
      </c>
      <c r="C312" s="3" t="s">
        <v>37</v>
      </c>
      <c r="D312" s="3" t="s">
        <v>38</v>
      </c>
      <c r="E312" s="3" t="s">
        <v>39</v>
      </c>
      <c r="F312" s="3" t="s">
        <v>40</v>
      </c>
      <c r="G312" s="3" t="s">
        <v>39</v>
      </c>
      <c r="H312" s="3" t="s">
        <v>68</v>
      </c>
      <c r="I312" s="3" t="s">
        <v>69</v>
      </c>
      <c r="J312" s="3" t="s">
        <v>70</v>
      </c>
      <c r="K312" s="3" t="s">
        <v>90</v>
      </c>
      <c r="L312" s="3" t="s">
        <v>91</v>
      </c>
      <c r="M312" s="3" t="s">
        <v>92</v>
      </c>
      <c r="N312" s="3" t="s">
        <v>59</v>
      </c>
      <c r="O312" s="4" t="n">
        <v>74</v>
      </c>
      <c r="P312" s="3" t="s">
        <v>48</v>
      </c>
      <c r="Q312" s="5" t="n">
        <v>96500</v>
      </c>
      <c r="R312" s="6" t="n">
        <v>0</v>
      </c>
      <c r="S312" s="5" t="n">
        <f aca="false">O312*Q312</f>
        <v>7141000</v>
      </c>
      <c r="T312" s="5" t="n">
        <f aca="false">S312*R312</f>
        <v>0</v>
      </c>
      <c r="U312" s="5" t="n">
        <f aca="false">S312-T312</f>
        <v>7141000</v>
      </c>
      <c r="V312" s="3" t="s">
        <v>39</v>
      </c>
    </row>
    <row r="313" customFormat="false" ht="15" hidden="false" customHeight="false" outlineLevel="0" collapsed="false">
      <c r="A313" s="2" t="n">
        <v>46108</v>
      </c>
      <c r="B313" s="3" t="s">
        <v>461</v>
      </c>
      <c r="C313" s="3" t="s">
        <v>101</v>
      </c>
      <c r="D313" s="3" t="s">
        <v>102</v>
      </c>
      <c r="E313" s="3" t="s">
        <v>25</v>
      </c>
      <c r="F313" s="3" t="s">
        <v>40</v>
      </c>
      <c r="G313" s="3" t="s">
        <v>27</v>
      </c>
      <c r="H313" s="3" t="s">
        <v>53</v>
      </c>
      <c r="I313" s="3" t="s">
        <v>54</v>
      </c>
      <c r="J313" s="3" t="s">
        <v>55</v>
      </c>
      <c r="K313" s="3" t="s">
        <v>71</v>
      </c>
      <c r="L313" s="3" t="s">
        <v>72</v>
      </c>
      <c r="M313" s="3" t="s">
        <v>46</v>
      </c>
      <c r="N313" s="3" t="s">
        <v>47</v>
      </c>
      <c r="O313" s="4" t="n">
        <v>209</v>
      </c>
      <c r="P313" s="3" t="s">
        <v>48</v>
      </c>
      <c r="Q313" s="5" t="n">
        <v>156000</v>
      </c>
      <c r="R313" s="6" t="n">
        <v>0.08</v>
      </c>
      <c r="S313" s="5" t="n">
        <f aca="false">O313*Q313</f>
        <v>32604000</v>
      </c>
      <c r="T313" s="5" t="n">
        <f aca="false">S313*R313</f>
        <v>2608320</v>
      </c>
      <c r="U313" s="5" t="n">
        <f aca="false">S313-T313</f>
        <v>29995680</v>
      </c>
      <c r="V313" s="3" t="s">
        <v>35</v>
      </c>
    </row>
    <row r="314" customFormat="false" ht="15" hidden="false" customHeight="false" outlineLevel="0" collapsed="false">
      <c r="A314" s="2" t="n">
        <v>46108</v>
      </c>
      <c r="B314" s="3" t="s">
        <v>462</v>
      </c>
      <c r="C314" s="3" t="s">
        <v>83</v>
      </c>
      <c r="D314" s="3" t="s">
        <v>84</v>
      </c>
      <c r="E314" s="3" t="s">
        <v>76</v>
      </c>
      <c r="F314" s="3" t="s">
        <v>85</v>
      </c>
      <c r="G314" s="3" t="s">
        <v>86</v>
      </c>
      <c r="H314" s="3" t="s">
        <v>87</v>
      </c>
      <c r="I314" s="3" t="s">
        <v>88</v>
      </c>
      <c r="J314" s="3" t="s">
        <v>89</v>
      </c>
      <c r="K314" s="3" t="s">
        <v>56</v>
      </c>
      <c r="L314" s="3" t="s">
        <v>57</v>
      </c>
      <c r="M314" s="3" t="s">
        <v>58</v>
      </c>
      <c r="N314" s="3" t="s">
        <v>59</v>
      </c>
      <c r="O314" s="4" t="n">
        <v>721</v>
      </c>
      <c r="P314" s="3" t="s">
        <v>48</v>
      </c>
      <c r="Q314" s="5" t="n">
        <v>52800</v>
      </c>
      <c r="R314" s="6" t="n">
        <v>0.1</v>
      </c>
      <c r="S314" s="5" t="n">
        <f aca="false">O314*Q314</f>
        <v>38068800</v>
      </c>
      <c r="T314" s="5" t="n">
        <f aca="false">S314*R314</f>
        <v>3806880</v>
      </c>
      <c r="U314" s="5" t="n">
        <f aca="false">S314-T314</f>
        <v>34261920</v>
      </c>
      <c r="V314" s="3" t="s">
        <v>81</v>
      </c>
    </row>
    <row r="315" customFormat="false" ht="15" hidden="false" customHeight="false" outlineLevel="0" collapsed="false">
      <c r="A315" s="2" t="n">
        <v>46108</v>
      </c>
      <c r="B315" s="3" t="s">
        <v>463</v>
      </c>
      <c r="C315" s="3" t="s">
        <v>74</v>
      </c>
      <c r="D315" s="3" t="s">
        <v>75</v>
      </c>
      <c r="E315" s="3" t="s">
        <v>76</v>
      </c>
      <c r="F315" s="3" t="s">
        <v>26</v>
      </c>
      <c r="G315" s="3" t="s">
        <v>77</v>
      </c>
      <c r="H315" s="3" t="s">
        <v>78</v>
      </c>
      <c r="I315" s="3" t="s">
        <v>79</v>
      </c>
      <c r="J315" s="3" t="s">
        <v>80</v>
      </c>
      <c r="K315" s="3" t="s">
        <v>119</v>
      </c>
      <c r="L315" s="3" t="s">
        <v>120</v>
      </c>
      <c r="M315" s="3" t="s">
        <v>33</v>
      </c>
      <c r="N315" s="3" t="s">
        <v>33</v>
      </c>
      <c r="O315" s="4" t="n">
        <v>231</v>
      </c>
      <c r="P315" s="3" t="s">
        <v>34</v>
      </c>
      <c r="Q315" s="5" t="n">
        <v>18900</v>
      </c>
      <c r="R315" s="6" t="n">
        <v>0.03</v>
      </c>
      <c r="S315" s="5" t="n">
        <f aca="false">O315*Q315</f>
        <v>4365900</v>
      </c>
      <c r="T315" s="5" t="n">
        <f aca="false">S315*R315</f>
        <v>130977</v>
      </c>
      <c r="U315" s="5" t="n">
        <f aca="false">S315-T315</f>
        <v>4234923</v>
      </c>
      <c r="V315" s="3" t="s">
        <v>81</v>
      </c>
    </row>
    <row r="316" customFormat="false" ht="15" hidden="false" customHeight="false" outlineLevel="0" collapsed="false">
      <c r="A316" s="2" t="n">
        <v>46108</v>
      </c>
      <c r="B316" s="3" t="s">
        <v>464</v>
      </c>
      <c r="C316" s="3" t="s">
        <v>50</v>
      </c>
      <c r="D316" s="3" t="s">
        <v>51</v>
      </c>
      <c r="E316" s="3" t="s">
        <v>25</v>
      </c>
      <c r="F316" s="3" t="s">
        <v>52</v>
      </c>
      <c r="G316" s="3" t="s">
        <v>27</v>
      </c>
      <c r="H316" s="3" t="s">
        <v>133</v>
      </c>
      <c r="I316" s="3" t="s">
        <v>134</v>
      </c>
      <c r="J316" s="3" t="s">
        <v>135</v>
      </c>
      <c r="K316" s="3" t="s">
        <v>119</v>
      </c>
      <c r="L316" s="3" t="s">
        <v>120</v>
      </c>
      <c r="M316" s="3" t="s">
        <v>33</v>
      </c>
      <c r="N316" s="3" t="s">
        <v>33</v>
      </c>
      <c r="O316" s="4" t="n">
        <v>67</v>
      </c>
      <c r="P316" s="3" t="s">
        <v>34</v>
      </c>
      <c r="Q316" s="5" t="n">
        <v>18900</v>
      </c>
      <c r="R316" s="6" t="n">
        <v>0.1</v>
      </c>
      <c r="S316" s="5" t="n">
        <f aca="false">O316*Q316</f>
        <v>1266300</v>
      </c>
      <c r="T316" s="5" t="n">
        <f aca="false">S316*R316</f>
        <v>126630</v>
      </c>
      <c r="U316" s="5" t="n">
        <f aca="false">S316-T316</f>
        <v>1139670</v>
      </c>
      <c r="V316" s="3" t="s">
        <v>35</v>
      </c>
    </row>
    <row r="317" customFormat="false" ht="15" hidden="false" customHeight="false" outlineLevel="0" collapsed="false">
      <c r="A317" s="2" t="n">
        <v>46108</v>
      </c>
      <c r="B317" s="3" t="s">
        <v>465</v>
      </c>
      <c r="C317" s="3" t="s">
        <v>126</v>
      </c>
      <c r="D317" s="3" t="s">
        <v>127</v>
      </c>
      <c r="E317" s="3" t="s">
        <v>76</v>
      </c>
      <c r="F317" s="3" t="s">
        <v>40</v>
      </c>
      <c r="G317" s="3" t="s">
        <v>77</v>
      </c>
      <c r="H317" s="3" t="s">
        <v>78</v>
      </c>
      <c r="I317" s="3" t="s">
        <v>79</v>
      </c>
      <c r="J317" s="3" t="s">
        <v>80</v>
      </c>
      <c r="K317" s="3" t="s">
        <v>44</v>
      </c>
      <c r="L317" s="3" t="s">
        <v>45</v>
      </c>
      <c r="M317" s="3" t="s">
        <v>46</v>
      </c>
      <c r="N317" s="3" t="s">
        <v>47</v>
      </c>
      <c r="O317" s="4" t="n">
        <v>557</v>
      </c>
      <c r="P317" s="3" t="s">
        <v>48</v>
      </c>
      <c r="Q317" s="5" t="n">
        <v>142000</v>
      </c>
      <c r="R317" s="6" t="n">
        <v>0.08</v>
      </c>
      <c r="S317" s="5" t="n">
        <f aca="false">O317*Q317</f>
        <v>79094000</v>
      </c>
      <c r="T317" s="5" t="n">
        <f aca="false">S317*R317</f>
        <v>6327520</v>
      </c>
      <c r="U317" s="5" t="n">
        <f aca="false">S317-T317</f>
        <v>72766480</v>
      </c>
      <c r="V317" s="3" t="s">
        <v>81</v>
      </c>
    </row>
    <row r="318" customFormat="false" ht="15" hidden="false" customHeight="false" outlineLevel="0" collapsed="false">
      <c r="A318" s="2" t="n">
        <v>46108</v>
      </c>
      <c r="B318" s="3" t="s">
        <v>466</v>
      </c>
      <c r="C318" s="3" t="s">
        <v>50</v>
      </c>
      <c r="D318" s="3" t="s">
        <v>51</v>
      </c>
      <c r="E318" s="3" t="s">
        <v>25</v>
      </c>
      <c r="F318" s="3" t="s">
        <v>52</v>
      </c>
      <c r="G318" s="3" t="s">
        <v>27</v>
      </c>
      <c r="H318" s="3" t="s">
        <v>53</v>
      </c>
      <c r="I318" s="3" t="s">
        <v>54</v>
      </c>
      <c r="J318" s="3" t="s">
        <v>55</v>
      </c>
      <c r="K318" s="3" t="s">
        <v>31</v>
      </c>
      <c r="L318" s="3" t="s">
        <v>32</v>
      </c>
      <c r="M318" s="3" t="s">
        <v>33</v>
      </c>
      <c r="N318" s="3" t="s">
        <v>33</v>
      </c>
      <c r="O318" s="4" t="n">
        <v>43</v>
      </c>
      <c r="P318" s="3" t="s">
        <v>34</v>
      </c>
      <c r="Q318" s="5" t="n">
        <v>34200</v>
      </c>
      <c r="R318" s="6" t="n">
        <v>0.12</v>
      </c>
      <c r="S318" s="5" t="n">
        <f aca="false">O318*Q318</f>
        <v>1470600</v>
      </c>
      <c r="T318" s="5" t="n">
        <f aca="false">S318*R318</f>
        <v>176472</v>
      </c>
      <c r="U318" s="5" t="n">
        <f aca="false">S318-T318</f>
        <v>1294128</v>
      </c>
      <c r="V318" s="3" t="s">
        <v>35</v>
      </c>
    </row>
    <row r="319" customFormat="false" ht="15" hidden="false" customHeight="false" outlineLevel="0" collapsed="false">
      <c r="A319" s="2" t="n">
        <v>46108</v>
      </c>
      <c r="B319" s="3" t="s">
        <v>467</v>
      </c>
      <c r="C319" s="3" t="s">
        <v>151</v>
      </c>
      <c r="D319" s="3" t="s">
        <v>152</v>
      </c>
      <c r="E319" s="3" t="s">
        <v>76</v>
      </c>
      <c r="F319" s="3" t="s">
        <v>153</v>
      </c>
      <c r="G319" s="3" t="s">
        <v>86</v>
      </c>
      <c r="H319" s="3" t="s">
        <v>87</v>
      </c>
      <c r="I319" s="3" t="s">
        <v>88</v>
      </c>
      <c r="J319" s="3" t="s">
        <v>89</v>
      </c>
      <c r="K319" s="3" t="s">
        <v>148</v>
      </c>
      <c r="L319" s="3" t="s">
        <v>149</v>
      </c>
      <c r="M319" s="3" t="s">
        <v>130</v>
      </c>
      <c r="N319" s="3" t="s">
        <v>131</v>
      </c>
      <c r="O319" s="4" t="n">
        <v>187</v>
      </c>
      <c r="P319" s="3" t="s">
        <v>48</v>
      </c>
      <c r="Q319" s="5" t="n">
        <v>78900</v>
      </c>
      <c r="R319" s="6" t="n">
        <v>0.05</v>
      </c>
      <c r="S319" s="5" t="n">
        <f aca="false">O319*Q319</f>
        <v>14754300</v>
      </c>
      <c r="T319" s="5" t="n">
        <f aca="false">S319*R319</f>
        <v>737715</v>
      </c>
      <c r="U319" s="5" t="n">
        <f aca="false">S319-T319</f>
        <v>14016585</v>
      </c>
      <c r="V319" s="3" t="s">
        <v>81</v>
      </c>
    </row>
    <row r="320" customFormat="false" ht="15" hidden="false" customHeight="false" outlineLevel="0" collapsed="false">
      <c r="A320" s="2" t="n">
        <v>46109</v>
      </c>
      <c r="B320" s="3" t="s">
        <v>468</v>
      </c>
      <c r="C320" s="3" t="s">
        <v>104</v>
      </c>
      <c r="D320" s="3" t="s">
        <v>105</v>
      </c>
      <c r="E320" s="3" t="s">
        <v>25</v>
      </c>
      <c r="F320" s="3" t="s">
        <v>106</v>
      </c>
      <c r="G320" s="3" t="s">
        <v>27</v>
      </c>
      <c r="H320" s="3" t="s">
        <v>133</v>
      </c>
      <c r="I320" s="3" t="s">
        <v>134</v>
      </c>
      <c r="J320" s="3" t="s">
        <v>135</v>
      </c>
      <c r="K320" s="3" t="s">
        <v>115</v>
      </c>
      <c r="L320" s="3" t="s">
        <v>116</v>
      </c>
      <c r="M320" s="3" t="s">
        <v>92</v>
      </c>
      <c r="N320" s="3" t="s">
        <v>117</v>
      </c>
      <c r="O320" s="4" t="n">
        <v>69</v>
      </c>
      <c r="P320" s="3" t="s">
        <v>48</v>
      </c>
      <c r="Q320" s="5" t="n">
        <v>42300</v>
      </c>
      <c r="R320" s="6" t="n">
        <v>0.1</v>
      </c>
      <c r="S320" s="5" t="n">
        <f aca="false">O320*Q320</f>
        <v>2918700</v>
      </c>
      <c r="T320" s="5" t="n">
        <f aca="false">S320*R320</f>
        <v>291870</v>
      </c>
      <c r="U320" s="5" t="n">
        <f aca="false">S320-T320</f>
        <v>2626830</v>
      </c>
      <c r="V320" s="3" t="s">
        <v>35</v>
      </c>
    </row>
    <row r="321" customFormat="false" ht="15" hidden="false" customHeight="false" outlineLevel="0" collapsed="false">
      <c r="A321" s="2" t="n">
        <v>46109</v>
      </c>
      <c r="B321" s="3" t="s">
        <v>469</v>
      </c>
      <c r="C321" s="3" t="s">
        <v>50</v>
      </c>
      <c r="D321" s="3" t="s">
        <v>51</v>
      </c>
      <c r="E321" s="3" t="s">
        <v>25</v>
      </c>
      <c r="F321" s="3" t="s">
        <v>52</v>
      </c>
      <c r="G321" s="3" t="s">
        <v>27</v>
      </c>
      <c r="H321" s="3" t="s">
        <v>53</v>
      </c>
      <c r="I321" s="3" t="s">
        <v>54</v>
      </c>
      <c r="J321" s="3" t="s">
        <v>55</v>
      </c>
      <c r="K321" s="3" t="s">
        <v>71</v>
      </c>
      <c r="L321" s="3" t="s">
        <v>72</v>
      </c>
      <c r="M321" s="3" t="s">
        <v>46</v>
      </c>
      <c r="N321" s="3" t="s">
        <v>47</v>
      </c>
      <c r="O321" s="4" t="n">
        <v>168</v>
      </c>
      <c r="P321" s="3" t="s">
        <v>48</v>
      </c>
      <c r="Q321" s="5" t="n">
        <v>156000</v>
      </c>
      <c r="R321" s="6" t="n">
        <v>0.08</v>
      </c>
      <c r="S321" s="5" t="n">
        <f aca="false">O321*Q321</f>
        <v>26208000</v>
      </c>
      <c r="T321" s="5" t="n">
        <f aca="false">S321*R321</f>
        <v>2096640</v>
      </c>
      <c r="U321" s="5" t="n">
        <f aca="false">S321-T321</f>
        <v>24111360</v>
      </c>
      <c r="V321" s="3" t="s">
        <v>35</v>
      </c>
    </row>
    <row r="322" customFormat="false" ht="15" hidden="false" customHeight="false" outlineLevel="0" collapsed="false">
      <c r="A322" s="2" t="n">
        <v>46109</v>
      </c>
      <c r="B322" s="3" t="s">
        <v>470</v>
      </c>
      <c r="C322" s="3" t="s">
        <v>126</v>
      </c>
      <c r="D322" s="3" t="s">
        <v>127</v>
      </c>
      <c r="E322" s="3" t="s">
        <v>76</v>
      </c>
      <c r="F322" s="3" t="s">
        <v>40</v>
      </c>
      <c r="G322" s="3" t="s">
        <v>77</v>
      </c>
      <c r="H322" s="3" t="s">
        <v>78</v>
      </c>
      <c r="I322" s="3" t="s">
        <v>79</v>
      </c>
      <c r="J322" s="3" t="s">
        <v>80</v>
      </c>
      <c r="K322" s="3" t="s">
        <v>162</v>
      </c>
      <c r="L322" s="3" t="s">
        <v>163</v>
      </c>
      <c r="M322" s="3" t="s">
        <v>58</v>
      </c>
      <c r="N322" s="3" t="s">
        <v>59</v>
      </c>
      <c r="O322" s="4" t="n">
        <v>428</v>
      </c>
      <c r="P322" s="3" t="s">
        <v>48</v>
      </c>
      <c r="Q322" s="5" t="n">
        <v>48500</v>
      </c>
      <c r="R322" s="6" t="n">
        <v>0.1</v>
      </c>
      <c r="S322" s="5" t="n">
        <f aca="false">O322*Q322</f>
        <v>20758000</v>
      </c>
      <c r="T322" s="5" t="n">
        <f aca="false">S322*R322</f>
        <v>2075800</v>
      </c>
      <c r="U322" s="5" t="n">
        <f aca="false">S322-T322</f>
        <v>18682200</v>
      </c>
      <c r="V322" s="3" t="s">
        <v>81</v>
      </c>
    </row>
    <row r="323" customFormat="false" ht="15" hidden="false" customHeight="false" outlineLevel="0" collapsed="false">
      <c r="A323" s="2" t="n">
        <v>46109</v>
      </c>
      <c r="B323" s="3" t="s">
        <v>471</v>
      </c>
      <c r="C323" s="3" t="s">
        <v>188</v>
      </c>
      <c r="D323" s="3" t="s">
        <v>189</v>
      </c>
      <c r="E323" s="3" t="s">
        <v>76</v>
      </c>
      <c r="F323" s="3" t="s">
        <v>85</v>
      </c>
      <c r="G323" s="3" t="s">
        <v>77</v>
      </c>
      <c r="H323" s="3" t="s">
        <v>78</v>
      </c>
      <c r="I323" s="3" t="s">
        <v>79</v>
      </c>
      <c r="J323" s="3" t="s">
        <v>80</v>
      </c>
      <c r="K323" s="3" t="s">
        <v>31</v>
      </c>
      <c r="L323" s="3" t="s">
        <v>32</v>
      </c>
      <c r="M323" s="3" t="s">
        <v>33</v>
      </c>
      <c r="N323" s="3" t="s">
        <v>33</v>
      </c>
      <c r="O323" s="4" t="n">
        <v>137</v>
      </c>
      <c r="P323" s="3" t="s">
        <v>34</v>
      </c>
      <c r="Q323" s="5" t="n">
        <v>34200</v>
      </c>
      <c r="R323" s="6" t="n">
        <v>0.03</v>
      </c>
      <c r="S323" s="5" t="n">
        <f aca="false">O323*Q323</f>
        <v>4685400</v>
      </c>
      <c r="T323" s="5" t="n">
        <f aca="false">S323*R323</f>
        <v>140562</v>
      </c>
      <c r="U323" s="5" t="n">
        <f aca="false">S323-T323</f>
        <v>4544838</v>
      </c>
      <c r="V323" s="3" t="s">
        <v>81</v>
      </c>
    </row>
    <row r="324" customFormat="false" ht="15" hidden="false" customHeight="false" outlineLevel="0" collapsed="false">
      <c r="A324" s="2" t="n">
        <v>46110</v>
      </c>
      <c r="B324" s="3" t="s">
        <v>472</v>
      </c>
      <c r="C324" s="3" t="s">
        <v>104</v>
      </c>
      <c r="D324" s="3" t="s">
        <v>105</v>
      </c>
      <c r="E324" s="3" t="s">
        <v>25</v>
      </c>
      <c r="F324" s="3" t="s">
        <v>106</v>
      </c>
      <c r="G324" s="3" t="s">
        <v>27</v>
      </c>
      <c r="H324" s="3" t="s">
        <v>28</v>
      </c>
      <c r="I324" s="3" t="s">
        <v>29</v>
      </c>
      <c r="J324" s="3" t="s">
        <v>30</v>
      </c>
      <c r="K324" s="3" t="s">
        <v>31</v>
      </c>
      <c r="L324" s="3" t="s">
        <v>32</v>
      </c>
      <c r="M324" s="3" t="s">
        <v>33</v>
      </c>
      <c r="N324" s="3" t="s">
        <v>33</v>
      </c>
      <c r="O324" s="4" t="n">
        <v>40</v>
      </c>
      <c r="P324" s="3" t="s">
        <v>34</v>
      </c>
      <c r="Q324" s="5" t="n">
        <v>34200</v>
      </c>
      <c r="R324" s="6" t="n">
        <v>0.12</v>
      </c>
      <c r="S324" s="5" t="n">
        <f aca="false">O324*Q324</f>
        <v>1368000</v>
      </c>
      <c r="T324" s="5" t="n">
        <f aca="false">S324*R324</f>
        <v>164160</v>
      </c>
      <c r="U324" s="5" t="n">
        <f aca="false">S324-T324</f>
        <v>1203840</v>
      </c>
      <c r="V324" s="3" t="s">
        <v>35</v>
      </c>
    </row>
    <row r="325" customFormat="false" ht="15" hidden="false" customHeight="false" outlineLevel="0" collapsed="false">
      <c r="A325" s="2" t="n">
        <v>46110</v>
      </c>
      <c r="B325" s="3" t="s">
        <v>473</v>
      </c>
      <c r="C325" s="3" t="s">
        <v>23</v>
      </c>
      <c r="D325" s="3" t="s">
        <v>24</v>
      </c>
      <c r="E325" s="3" t="s">
        <v>25</v>
      </c>
      <c r="F325" s="3" t="s">
        <v>26</v>
      </c>
      <c r="G325" s="3" t="s">
        <v>27</v>
      </c>
      <c r="H325" s="3" t="s">
        <v>53</v>
      </c>
      <c r="I325" s="3" t="s">
        <v>54</v>
      </c>
      <c r="J325" s="3" t="s">
        <v>55</v>
      </c>
      <c r="K325" s="3" t="s">
        <v>119</v>
      </c>
      <c r="L325" s="3" t="s">
        <v>120</v>
      </c>
      <c r="M325" s="3" t="s">
        <v>33</v>
      </c>
      <c r="N325" s="3" t="s">
        <v>33</v>
      </c>
      <c r="O325" s="4" t="n">
        <v>225</v>
      </c>
      <c r="P325" s="3" t="s">
        <v>34</v>
      </c>
      <c r="Q325" s="5" t="n">
        <v>18900</v>
      </c>
      <c r="R325" s="6" t="n">
        <v>0.1</v>
      </c>
      <c r="S325" s="5" t="n">
        <f aca="false">O325*Q325</f>
        <v>4252500</v>
      </c>
      <c r="T325" s="5" t="n">
        <f aca="false">S325*R325</f>
        <v>425250</v>
      </c>
      <c r="U325" s="5" t="n">
        <f aca="false">S325-T325</f>
        <v>3827250</v>
      </c>
      <c r="V325" s="3" t="s">
        <v>35</v>
      </c>
    </row>
    <row r="326" customFormat="false" ht="15" hidden="false" customHeight="false" outlineLevel="0" collapsed="false">
      <c r="A326" s="2" t="n">
        <v>46110</v>
      </c>
      <c r="B326" s="3" t="s">
        <v>474</v>
      </c>
      <c r="C326" s="3" t="s">
        <v>104</v>
      </c>
      <c r="D326" s="3" t="s">
        <v>105</v>
      </c>
      <c r="E326" s="3" t="s">
        <v>25</v>
      </c>
      <c r="F326" s="3" t="s">
        <v>106</v>
      </c>
      <c r="G326" s="3" t="s">
        <v>27</v>
      </c>
      <c r="H326" s="3" t="s">
        <v>28</v>
      </c>
      <c r="I326" s="3" t="s">
        <v>29</v>
      </c>
      <c r="J326" s="3" t="s">
        <v>30</v>
      </c>
      <c r="K326" s="3" t="s">
        <v>162</v>
      </c>
      <c r="L326" s="3" t="s">
        <v>163</v>
      </c>
      <c r="M326" s="3" t="s">
        <v>58</v>
      </c>
      <c r="N326" s="3" t="s">
        <v>59</v>
      </c>
      <c r="O326" s="4" t="n">
        <v>192</v>
      </c>
      <c r="P326" s="3" t="s">
        <v>48</v>
      </c>
      <c r="Q326" s="5" t="n">
        <v>48500</v>
      </c>
      <c r="R326" s="6" t="n">
        <v>0.12</v>
      </c>
      <c r="S326" s="5" t="n">
        <f aca="false">O326*Q326</f>
        <v>9312000</v>
      </c>
      <c r="T326" s="5" t="n">
        <f aca="false">S326*R326</f>
        <v>1117440</v>
      </c>
      <c r="U326" s="5" t="n">
        <f aca="false">S326-T326</f>
        <v>8194560</v>
      </c>
      <c r="V326" s="3" t="s">
        <v>35</v>
      </c>
    </row>
    <row r="327" customFormat="false" ht="15" hidden="false" customHeight="false" outlineLevel="0" collapsed="false">
      <c r="A327" s="2" t="n">
        <v>46110</v>
      </c>
      <c r="B327" s="3" t="s">
        <v>475</v>
      </c>
      <c r="C327" s="3" t="s">
        <v>94</v>
      </c>
      <c r="D327" s="3" t="s">
        <v>95</v>
      </c>
      <c r="E327" s="3" t="s">
        <v>76</v>
      </c>
      <c r="F327" s="3" t="s">
        <v>96</v>
      </c>
      <c r="G327" s="3" t="s">
        <v>97</v>
      </c>
      <c r="H327" s="3" t="s">
        <v>68</v>
      </c>
      <c r="I327" s="3" t="s">
        <v>69</v>
      </c>
      <c r="J327" s="3" t="s">
        <v>70</v>
      </c>
      <c r="K327" s="3" t="s">
        <v>90</v>
      </c>
      <c r="L327" s="3" t="s">
        <v>91</v>
      </c>
      <c r="M327" s="3" t="s">
        <v>92</v>
      </c>
      <c r="N327" s="3" t="s">
        <v>59</v>
      </c>
      <c r="O327" s="4" t="n">
        <v>688</v>
      </c>
      <c r="P327" s="3" t="s">
        <v>48</v>
      </c>
      <c r="Q327" s="5" t="n">
        <v>96500</v>
      </c>
      <c r="R327" s="6" t="n">
        <v>0.08</v>
      </c>
      <c r="S327" s="5" t="n">
        <f aca="false">O327*Q327</f>
        <v>66392000</v>
      </c>
      <c r="T327" s="5" t="n">
        <f aca="false">S327*R327</f>
        <v>5311360</v>
      </c>
      <c r="U327" s="5" t="n">
        <f aca="false">S327-T327</f>
        <v>61080640</v>
      </c>
      <c r="V327" s="3" t="s">
        <v>81</v>
      </c>
    </row>
    <row r="328" customFormat="false" ht="15" hidden="false" customHeight="false" outlineLevel="0" collapsed="false">
      <c r="A328" s="2" t="n">
        <v>46110</v>
      </c>
      <c r="B328" s="3" t="s">
        <v>476</v>
      </c>
      <c r="C328" s="3" t="s">
        <v>50</v>
      </c>
      <c r="D328" s="3" t="s">
        <v>51</v>
      </c>
      <c r="E328" s="3" t="s">
        <v>25</v>
      </c>
      <c r="F328" s="3" t="s">
        <v>52</v>
      </c>
      <c r="G328" s="3" t="s">
        <v>27</v>
      </c>
      <c r="H328" s="3" t="s">
        <v>53</v>
      </c>
      <c r="I328" s="3" t="s">
        <v>54</v>
      </c>
      <c r="J328" s="3" t="s">
        <v>55</v>
      </c>
      <c r="K328" s="3" t="s">
        <v>119</v>
      </c>
      <c r="L328" s="3" t="s">
        <v>120</v>
      </c>
      <c r="M328" s="3" t="s">
        <v>33</v>
      </c>
      <c r="N328" s="3" t="s">
        <v>33</v>
      </c>
      <c r="O328" s="4" t="n">
        <v>174</v>
      </c>
      <c r="P328" s="3" t="s">
        <v>34</v>
      </c>
      <c r="Q328" s="5" t="n">
        <v>18900</v>
      </c>
      <c r="R328" s="6" t="n">
        <v>0.1</v>
      </c>
      <c r="S328" s="5" t="n">
        <f aca="false">O328*Q328</f>
        <v>3288600</v>
      </c>
      <c r="T328" s="5" t="n">
        <f aca="false">S328*R328</f>
        <v>328860</v>
      </c>
      <c r="U328" s="5" t="n">
        <f aca="false">S328-T328</f>
        <v>2959740</v>
      </c>
      <c r="V328" s="3" t="s">
        <v>35</v>
      </c>
    </row>
    <row r="329" customFormat="false" ht="15" hidden="false" customHeight="false" outlineLevel="0" collapsed="false">
      <c r="A329" s="2" t="n">
        <v>46111</v>
      </c>
      <c r="B329" s="3" t="s">
        <v>477</v>
      </c>
      <c r="C329" s="3" t="s">
        <v>156</v>
      </c>
      <c r="D329" s="3" t="s">
        <v>157</v>
      </c>
      <c r="E329" s="3" t="s">
        <v>76</v>
      </c>
      <c r="F329" s="3" t="s">
        <v>40</v>
      </c>
      <c r="G329" s="3" t="s">
        <v>77</v>
      </c>
      <c r="H329" s="3" t="s">
        <v>78</v>
      </c>
      <c r="I329" s="3" t="s">
        <v>79</v>
      </c>
      <c r="J329" s="3" t="s">
        <v>80</v>
      </c>
      <c r="K329" s="3" t="s">
        <v>64</v>
      </c>
      <c r="L329" s="3" t="s">
        <v>65</v>
      </c>
      <c r="M329" s="3" t="s">
        <v>33</v>
      </c>
      <c r="N329" s="3" t="s">
        <v>33</v>
      </c>
      <c r="O329" s="4" t="n">
        <v>114</v>
      </c>
      <c r="P329" s="3" t="s">
        <v>66</v>
      </c>
      <c r="Q329" s="5" t="n">
        <v>28500</v>
      </c>
      <c r="R329" s="6" t="n">
        <v>0.03</v>
      </c>
      <c r="S329" s="5" t="n">
        <f aca="false">O329*Q329</f>
        <v>3249000</v>
      </c>
      <c r="T329" s="5" t="n">
        <f aca="false">S329*R329</f>
        <v>97470</v>
      </c>
      <c r="U329" s="5" t="n">
        <f aca="false">S329-T329</f>
        <v>3151530</v>
      </c>
      <c r="V329" s="3" t="s">
        <v>81</v>
      </c>
    </row>
    <row r="330" customFormat="false" ht="15" hidden="false" customHeight="false" outlineLevel="0" collapsed="false">
      <c r="A330" s="2" t="n">
        <v>46111</v>
      </c>
      <c r="B330" s="3" t="s">
        <v>478</v>
      </c>
      <c r="C330" s="3" t="s">
        <v>50</v>
      </c>
      <c r="D330" s="3" t="s">
        <v>51</v>
      </c>
      <c r="E330" s="3" t="s">
        <v>25</v>
      </c>
      <c r="F330" s="3" t="s">
        <v>52</v>
      </c>
      <c r="G330" s="3" t="s">
        <v>27</v>
      </c>
      <c r="H330" s="3" t="s">
        <v>53</v>
      </c>
      <c r="I330" s="3" t="s">
        <v>54</v>
      </c>
      <c r="J330" s="3" t="s">
        <v>55</v>
      </c>
      <c r="K330" s="3" t="s">
        <v>119</v>
      </c>
      <c r="L330" s="3" t="s">
        <v>120</v>
      </c>
      <c r="M330" s="3" t="s">
        <v>33</v>
      </c>
      <c r="N330" s="3" t="s">
        <v>33</v>
      </c>
      <c r="O330" s="4" t="n">
        <v>124</v>
      </c>
      <c r="P330" s="3" t="s">
        <v>34</v>
      </c>
      <c r="Q330" s="5" t="n">
        <v>18900</v>
      </c>
      <c r="R330" s="6" t="n">
        <v>0.12</v>
      </c>
      <c r="S330" s="5" t="n">
        <f aca="false">O330*Q330</f>
        <v>2343600</v>
      </c>
      <c r="T330" s="5" t="n">
        <f aca="false">S330*R330</f>
        <v>281232</v>
      </c>
      <c r="U330" s="5" t="n">
        <f aca="false">S330-T330</f>
        <v>2062368</v>
      </c>
      <c r="V330" s="3" t="s">
        <v>35</v>
      </c>
    </row>
    <row r="331" customFormat="false" ht="15" hidden="false" customHeight="false" outlineLevel="0" collapsed="false">
      <c r="A331" s="2" t="n">
        <v>46111</v>
      </c>
      <c r="B331" s="3" t="s">
        <v>479</v>
      </c>
      <c r="C331" s="3" t="s">
        <v>101</v>
      </c>
      <c r="D331" s="3" t="s">
        <v>102</v>
      </c>
      <c r="E331" s="3" t="s">
        <v>25</v>
      </c>
      <c r="F331" s="3" t="s">
        <v>40</v>
      </c>
      <c r="G331" s="3" t="s">
        <v>27</v>
      </c>
      <c r="H331" s="3" t="s">
        <v>53</v>
      </c>
      <c r="I331" s="3" t="s">
        <v>54</v>
      </c>
      <c r="J331" s="3" t="s">
        <v>55</v>
      </c>
      <c r="K331" s="3" t="s">
        <v>128</v>
      </c>
      <c r="L331" s="3" t="s">
        <v>129</v>
      </c>
      <c r="M331" s="3" t="s">
        <v>130</v>
      </c>
      <c r="N331" s="3" t="s">
        <v>131</v>
      </c>
      <c r="O331" s="4" t="n">
        <v>81</v>
      </c>
      <c r="P331" s="3" t="s">
        <v>48</v>
      </c>
      <c r="Q331" s="5" t="n">
        <v>84500</v>
      </c>
      <c r="R331" s="6" t="n">
        <v>0.1</v>
      </c>
      <c r="S331" s="5" t="n">
        <f aca="false">O331*Q331</f>
        <v>6844500</v>
      </c>
      <c r="T331" s="5" t="n">
        <f aca="false">S331*R331</f>
        <v>684450</v>
      </c>
      <c r="U331" s="5" t="n">
        <f aca="false">S331-T331</f>
        <v>6160050</v>
      </c>
      <c r="V331" s="3" t="s">
        <v>35</v>
      </c>
    </row>
    <row r="332" customFormat="false" ht="15" hidden="false" customHeight="false" outlineLevel="0" collapsed="false">
      <c r="A332" s="2" t="n">
        <v>46111</v>
      </c>
      <c r="B332" s="3" t="s">
        <v>480</v>
      </c>
      <c r="C332" s="3" t="s">
        <v>50</v>
      </c>
      <c r="D332" s="3" t="s">
        <v>51</v>
      </c>
      <c r="E332" s="3" t="s">
        <v>25</v>
      </c>
      <c r="F332" s="3" t="s">
        <v>52</v>
      </c>
      <c r="G332" s="3" t="s">
        <v>27</v>
      </c>
      <c r="H332" s="3" t="s">
        <v>28</v>
      </c>
      <c r="I332" s="3" t="s">
        <v>29</v>
      </c>
      <c r="J332" s="3" t="s">
        <v>30</v>
      </c>
      <c r="K332" s="3" t="s">
        <v>31</v>
      </c>
      <c r="L332" s="3" t="s">
        <v>32</v>
      </c>
      <c r="M332" s="3" t="s">
        <v>33</v>
      </c>
      <c r="N332" s="3" t="s">
        <v>33</v>
      </c>
      <c r="O332" s="4" t="n">
        <v>102</v>
      </c>
      <c r="P332" s="3" t="s">
        <v>34</v>
      </c>
      <c r="Q332" s="5" t="n">
        <v>34200</v>
      </c>
      <c r="R332" s="6" t="n">
        <v>0.1</v>
      </c>
      <c r="S332" s="5" t="n">
        <f aca="false">O332*Q332</f>
        <v>3488400</v>
      </c>
      <c r="T332" s="5" t="n">
        <f aca="false">S332*R332</f>
        <v>348840</v>
      </c>
      <c r="U332" s="5" t="n">
        <f aca="false">S332-T332</f>
        <v>3139560</v>
      </c>
      <c r="V332" s="3" t="s">
        <v>35</v>
      </c>
    </row>
    <row r="333" customFormat="false" ht="15" hidden="false" customHeight="false" outlineLevel="0" collapsed="false">
      <c r="A333" s="2" t="n">
        <v>46111</v>
      </c>
      <c r="B333" s="3" t="s">
        <v>481</v>
      </c>
      <c r="C333" s="3" t="s">
        <v>101</v>
      </c>
      <c r="D333" s="3" t="s">
        <v>102</v>
      </c>
      <c r="E333" s="3" t="s">
        <v>25</v>
      </c>
      <c r="F333" s="3" t="s">
        <v>40</v>
      </c>
      <c r="G333" s="3" t="s">
        <v>27</v>
      </c>
      <c r="H333" s="3" t="s">
        <v>28</v>
      </c>
      <c r="I333" s="3" t="s">
        <v>29</v>
      </c>
      <c r="J333" s="3" t="s">
        <v>30</v>
      </c>
      <c r="K333" s="3" t="s">
        <v>148</v>
      </c>
      <c r="L333" s="3" t="s">
        <v>149</v>
      </c>
      <c r="M333" s="3" t="s">
        <v>130</v>
      </c>
      <c r="N333" s="3" t="s">
        <v>131</v>
      </c>
      <c r="O333" s="4" t="n">
        <v>85</v>
      </c>
      <c r="P333" s="3" t="s">
        <v>48</v>
      </c>
      <c r="Q333" s="5" t="n">
        <v>78900</v>
      </c>
      <c r="R333" s="6" t="n">
        <v>0.12</v>
      </c>
      <c r="S333" s="5" t="n">
        <f aca="false">O333*Q333</f>
        <v>6706500</v>
      </c>
      <c r="T333" s="5" t="n">
        <f aca="false">S333*R333</f>
        <v>804780</v>
      </c>
      <c r="U333" s="5" t="n">
        <f aca="false">S333-T333</f>
        <v>5901720</v>
      </c>
      <c r="V333" s="3" t="s">
        <v>35</v>
      </c>
    </row>
    <row r="334" customFormat="false" ht="15" hidden="false" customHeight="false" outlineLevel="0" collapsed="false">
      <c r="A334" s="2" t="n">
        <v>46111</v>
      </c>
      <c r="B334" s="3" t="s">
        <v>482</v>
      </c>
      <c r="C334" s="3" t="s">
        <v>61</v>
      </c>
      <c r="D334" s="3" t="s">
        <v>62</v>
      </c>
      <c r="E334" s="3" t="s">
        <v>25</v>
      </c>
      <c r="F334" s="3" t="s">
        <v>63</v>
      </c>
      <c r="G334" s="3" t="s">
        <v>27</v>
      </c>
      <c r="H334" s="3" t="s">
        <v>133</v>
      </c>
      <c r="I334" s="3" t="s">
        <v>134</v>
      </c>
      <c r="J334" s="3" t="s">
        <v>135</v>
      </c>
      <c r="K334" s="3" t="s">
        <v>64</v>
      </c>
      <c r="L334" s="3" t="s">
        <v>65</v>
      </c>
      <c r="M334" s="3" t="s">
        <v>33</v>
      </c>
      <c r="N334" s="3" t="s">
        <v>33</v>
      </c>
      <c r="O334" s="4" t="n">
        <v>179</v>
      </c>
      <c r="P334" s="3" t="s">
        <v>66</v>
      </c>
      <c r="Q334" s="5" t="n">
        <v>28500</v>
      </c>
      <c r="R334" s="6" t="n">
        <v>0.15</v>
      </c>
      <c r="S334" s="5" t="n">
        <f aca="false">O334*Q334</f>
        <v>5101500</v>
      </c>
      <c r="T334" s="5" t="n">
        <f aca="false">S334*R334</f>
        <v>765225</v>
      </c>
      <c r="U334" s="5" t="n">
        <f aca="false">S334-T334</f>
        <v>4336275</v>
      </c>
      <c r="V334" s="3" t="s">
        <v>35</v>
      </c>
    </row>
    <row r="335" customFormat="false" ht="15" hidden="false" customHeight="false" outlineLevel="0" collapsed="false">
      <c r="A335" s="2" t="n">
        <v>46112</v>
      </c>
      <c r="B335" s="3" t="s">
        <v>483</v>
      </c>
      <c r="C335" s="3" t="s">
        <v>156</v>
      </c>
      <c r="D335" s="3" t="s">
        <v>157</v>
      </c>
      <c r="E335" s="3" t="s">
        <v>76</v>
      </c>
      <c r="F335" s="3" t="s">
        <v>40</v>
      </c>
      <c r="G335" s="3" t="s">
        <v>77</v>
      </c>
      <c r="H335" s="3" t="s">
        <v>78</v>
      </c>
      <c r="I335" s="3" t="s">
        <v>79</v>
      </c>
      <c r="J335" s="3" t="s">
        <v>80</v>
      </c>
      <c r="K335" s="3" t="s">
        <v>31</v>
      </c>
      <c r="L335" s="3" t="s">
        <v>32</v>
      </c>
      <c r="M335" s="3" t="s">
        <v>33</v>
      </c>
      <c r="N335" s="3" t="s">
        <v>33</v>
      </c>
      <c r="O335" s="4" t="n">
        <v>84</v>
      </c>
      <c r="P335" s="3" t="s">
        <v>34</v>
      </c>
      <c r="Q335" s="5" t="n">
        <v>34200</v>
      </c>
      <c r="R335" s="6" t="n">
        <v>0.02</v>
      </c>
      <c r="S335" s="5" t="n">
        <f aca="false">O335*Q335</f>
        <v>2872800</v>
      </c>
      <c r="T335" s="5" t="n">
        <f aca="false">S335*R335</f>
        <v>57456</v>
      </c>
      <c r="U335" s="5" t="n">
        <f aca="false">S335-T335</f>
        <v>2815344</v>
      </c>
      <c r="V335" s="3" t="s">
        <v>81</v>
      </c>
    </row>
    <row r="336" customFormat="false" ht="15" hidden="false" customHeight="false" outlineLevel="0" collapsed="false">
      <c r="A336" s="2" t="n">
        <v>46112</v>
      </c>
      <c r="B336" s="3" t="s">
        <v>484</v>
      </c>
      <c r="C336" s="3" t="s">
        <v>122</v>
      </c>
      <c r="D336" s="3" t="s">
        <v>123</v>
      </c>
      <c r="E336" s="3" t="s">
        <v>76</v>
      </c>
      <c r="F336" s="3" t="s">
        <v>124</v>
      </c>
      <c r="G336" s="3" t="s">
        <v>86</v>
      </c>
      <c r="H336" s="3" t="s">
        <v>87</v>
      </c>
      <c r="I336" s="3" t="s">
        <v>88</v>
      </c>
      <c r="J336" s="3" t="s">
        <v>89</v>
      </c>
      <c r="K336" s="3" t="s">
        <v>56</v>
      </c>
      <c r="L336" s="3" t="s">
        <v>57</v>
      </c>
      <c r="M336" s="3" t="s">
        <v>58</v>
      </c>
      <c r="N336" s="3" t="s">
        <v>59</v>
      </c>
      <c r="O336" s="4" t="n">
        <v>265</v>
      </c>
      <c r="P336" s="3" t="s">
        <v>48</v>
      </c>
      <c r="Q336" s="5" t="n">
        <v>52800</v>
      </c>
      <c r="R336" s="6" t="n">
        <v>0.02</v>
      </c>
      <c r="S336" s="5" t="n">
        <f aca="false">O336*Q336</f>
        <v>13992000</v>
      </c>
      <c r="T336" s="5" t="n">
        <f aca="false">S336*R336</f>
        <v>279840</v>
      </c>
      <c r="U336" s="5" t="n">
        <f aca="false">S336-T336</f>
        <v>13712160</v>
      </c>
      <c r="V336" s="3" t="s">
        <v>81</v>
      </c>
    </row>
  </sheetData>
  <autoFilter ref="A1:V3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" t="s">
        <v>10</v>
      </c>
      <c r="B1" s="1" t="s">
        <v>11</v>
      </c>
      <c r="C1" s="1" t="s">
        <v>12</v>
      </c>
      <c r="D1" s="1" t="s">
        <v>13</v>
      </c>
      <c r="E1" s="1" t="s">
        <v>485</v>
      </c>
      <c r="F1" s="1" t="s">
        <v>15</v>
      </c>
    </row>
    <row r="2" customFormat="false" ht="15" hidden="false" customHeight="false" outlineLevel="0" collapsed="false">
      <c r="A2" s="3" t="s">
        <v>162</v>
      </c>
      <c r="B2" s="3" t="s">
        <v>163</v>
      </c>
      <c r="C2" s="3" t="s">
        <v>58</v>
      </c>
      <c r="D2" s="3" t="s">
        <v>59</v>
      </c>
      <c r="E2" s="5" t="n">
        <v>48500</v>
      </c>
      <c r="F2" s="3" t="s">
        <v>48</v>
      </c>
    </row>
    <row r="3" customFormat="false" ht="15" hidden="false" customHeight="false" outlineLevel="0" collapsed="false">
      <c r="A3" s="3" t="s">
        <v>56</v>
      </c>
      <c r="B3" s="3" t="s">
        <v>57</v>
      </c>
      <c r="C3" s="3" t="s">
        <v>58</v>
      </c>
      <c r="D3" s="3" t="s">
        <v>59</v>
      </c>
      <c r="E3" s="5" t="n">
        <v>52800</v>
      </c>
      <c r="F3" s="3" t="s">
        <v>48</v>
      </c>
    </row>
    <row r="4" customFormat="false" ht="15" hidden="false" customHeight="false" outlineLevel="0" collapsed="false">
      <c r="A4" s="3" t="s">
        <v>148</v>
      </c>
      <c r="B4" s="3" t="s">
        <v>149</v>
      </c>
      <c r="C4" s="3" t="s">
        <v>130</v>
      </c>
      <c r="D4" s="3" t="s">
        <v>131</v>
      </c>
      <c r="E4" s="5" t="n">
        <v>78900</v>
      </c>
      <c r="F4" s="3" t="s">
        <v>48</v>
      </c>
    </row>
    <row r="5" customFormat="false" ht="15" hidden="false" customHeight="false" outlineLevel="0" collapsed="false">
      <c r="A5" s="3" t="s">
        <v>128</v>
      </c>
      <c r="B5" s="3" t="s">
        <v>129</v>
      </c>
      <c r="C5" s="3" t="s">
        <v>130</v>
      </c>
      <c r="D5" s="3" t="s">
        <v>131</v>
      </c>
      <c r="E5" s="5" t="n">
        <v>84500</v>
      </c>
      <c r="F5" s="3" t="s">
        <v>48</v>
      </c>
    </row>
    <row r="6" customFormat="false" ht="15" hidden="false" customHeight="false" outlineLevel="0" collapsed="false">
      <c r="A6" s="3" t="s">
        <v>115</v>
      </c>
      <c r="B6" s="3" t="s">
        <v>116</v>
      </c>
      <c r="C6" s="3" t="s">
        <v>92</v>
      </c>
      <c r="D6" s="3" t="s">
        <v>117</v>
      </c>
      <c r="E6" s="5" t="n">
        <v>42300</v>
      </c>
      <c r="F6" s="3" t="s">
        <v>48</v>
      </c>
    </row>
    <row r="7" customFormat="false" ht="15" hidden="false" customHeight="false" outlineLevel="0" collapsed="false">
      <c r="A7" s="3" t="s">
        <v>90</v>
      </c>
      <c r="B7" s="3" t="s">
        <v>91</v>
      </c>
      <c r="C7" s="3" t="s">
        <v>92</v>
      </c>
      <c r="D7" s="3" t="s">
        <v>59</v>
      </c>
      <c r="E7" s="5" t="n">
        <v>96500</v>
      </c>
      <c r="F7" s="3" t="s">
        <v>48</v>
      </c>
    </row>
    <row r="8" customFormat="false" ht="15" hidden="false" customHeight="false" outlineLevel="0" collapsed="false">
      <c r="A8" s="3" t="s">
        <v>44</v>
      </c>
      <c r="B8" s="3" t="s">
        <v>45</v>
      </c>
      <c r="C8" s="3" t="s">
        <v>46</v>
      </c>
      <c r="D8" s="3" t="s">
        <v>47</v>
      </c>
      <c r="E8" s="5" t="n">
        <v>142000</v>
      </c>
      <c r="F8" s="3" t="s">
        <v>48</v>
      </c>
    </row>
    <row r="9" customFormat="false" ht="15" hidden="false" customHeight="false" outlineLevel="0" collapsed="false">
      <c r="A9" s="3" t="s">
        <v>98</v>
      </c>
      <c r="B9" s="3" t="s">
        <v>99</v>
      </c>
      <c r="C9" s="3" t="s">
        <v>46</v>
      </c>
      <c r="D9" s="3" t="s">
        <v>47</v>
      </c>
      <c r="E9" s="5" t="n">
        <v>138500</v>
      </c>
      <c r="F9" s="3" t="s">
        <v>48</v>
      </c>
    </row>
    <row r="10" customFormat="false" ht="15" hidden="false" customHeight="false" outlineLevel="0" collapsed="false">
      <c r="A10" s="3" t="s">
        <v>71</v>
      </c>
      <c r="B10" s="3" t="s">
        <v>72</v>
      </c>
      <c r="C10" s="3" t="s">
        <v>46</v>
      </c>
      <c r="D10" s="3" t="s">
        <v>47</v>
      </c>
      <c r="E10" s="5" t="n">
        <v>156000</v>
      </c>
      <c r="F10" s="3" t="s">
        <v>48</v>
      </c>
    </row>
    <row r="11" customFormat="false" ht="15" hidden="false" customHeight="false" outlineLevel="0" collapsed="false">
      <c r="A11" s="3" t="s">
        <v>192</v>
      </c>
      <c r="B11" s="3" t="s">
        <v>193</v>
      </c>
      <c r="C11" s="3" t="s">
        <v>46</v>
      </c>
      <c r="D11" s="3" t="s">
        <v>194</v>
      </c>
      <c r="E11" s="5" t="n">
        <v>168000</v>
      </c>
      <c r="F11" s="3" t="s">
        <v>48</v>
      </c>
    </row>
    <row r="12" customFormat="false" ht="15" hidden="false" customHeight="false" outlineLevel="0" collapsed="false">
      <c r="A12" s="3" t="s">
        <v>144</v>
      </c>
      <c r="B12" s="3" t="s">
        <v>145</v>
      </c>
      <c r="C12" s="3" t="s">
        <v>146</v>
      </c>
      <c r="D12" s="3" t="s">
        <v>111</v>
      </c>
      <c r="E12" s="5" t="n">
        <v>89000</v>
      </c>
      <c r="F12" s="3" t="s">
        <v>48</v>
      </c>
    </row>
    <row r="13" customFormat="false" ht="15" hidden="false" customHeight="false" outlineLevel="0" collapsed="false">
      <c r="A13" s="3" t="s">
        <v>108</v>
      </c>
      <c r="B13" s="3" t="s">
        <v>109</v>
      </c>
      <c r="C13" s="3" t="s">
        <v>110</v>
      </c>
      <c r="D13" s="3" t="s">
        <v>111</v>
      </c>
      <c r="E13" s="5" t="n">
        <v>112000</v>
      </c>
      <c r="F13" s="3" t="s">
        <v>48</v>
      </c>
    </row>
    <row r="14" customFormat="false" ht="15" hidden="false" customHeight="false" outlineLevel="0" collapsed="false">
      <c r="A14" s="3" t="s">
        <v>64</v>
      </c>
      <c r="B14" s="3" t="s">
        <v>65</v>
      </c>
      <c r="C14" s="3" t="s">
        <v>33</v>
      </c>
      <c r="D14" s="3" t="s">
        <v>33</v>
      </c>
      <c r="E14" s="5" t="n">
        <v>28500</v>
      </c>
      <c r="F14" s="3" t="s">
        <v>66</v>
      </c>
    </row>
    <row r="15" customFormat="false" ht="15" hidden="false" customHeight="false" outlineLevel="0" collapsed="false">
      <c r="A15" s="3" t="s">
        <v>31</v>
      </c>
      <c r="B15" s="3" t="s">
        <v>32</v>
      </c>
      <c r="C15" s="3" t="s">
        <v>33</v>
      </c>
      <c r="D15" s="3" t="s">
        <v>33</v>
      </c>
      <c r="E15" s="5" t="n">
        <v>34200</v>
      </c>
      <c r="F15" s="3" t="s">
        <v>34</v>
      </c>
    </row>
    <row r="16" customFormat="false" ht="15" hidden="false" customHeight="false" outlineLevel="0" collapsed="false">
      <c r="A16" s="3" t="s">
        <v>119</v>
      </c>
      <c r="B16" s="3" t="s">
        <v>120</v>
      </c>
      <c r="C16" s="3" t="s">
        <v>33</v>
      </c>
      <c r="D16" s="3" t="s">
        <v>33</v>
      </c>
      <c r="E16" s="5" t="n">
        <v>18900</v>
      </c>
      <c r="F16" s="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" t="s">
        <v>486</v>
      </c>
      <c r="B1" s="1" t="s">
        <v>3</v>
      </c>
      <c r="C1" s="1" t="s">
        <v>487</v>
      </c>
      <c r="D1" s="1" t="s">
        <v>5</v>
      </c>
      <c r="E1" s="1" t="s">
        <v>6</v>
      </c>
    </row>
    <row r="2" customFormat="false" ht="15" hidden="false" customHeight="false" outlineLevel="0" collapsed="false">
      <c r="A2" s="3" t="s">
        <v>126</v>
      </c>
      <c r="B2" s="3" t="s">
        <v>127</v>
      </c>
      <c r="C2" s="3" t="s">
        <v>76</v>
      </c>
      <c r="D2" s="3" t="s">
        <v>40</v>
      </c>
      <c r="E2" s="3" t="s">
        <v>77</v>
      </c>
    </row>
    <row r="3" customFormat="false" ht="15" hidden="false" customHeight="false" outlineLevel="0" collapsed="false">
      <c r="A3" s="3" t="s">
        <v>137</v>
      </c>
      <c r="B3" s="3" t="s">
        <v>138</v>
      </c>
      <c r="C3" s="3" t="s">
        <v>76</v>
      </c>
      <c r="D3" s="3" t="s">
        <v>40</v>
      </c>
      <c r="E3" s="3" t="s">
        <v>77</v>
      </c>
    </row>
    <row r="4" customFormat="false" ht="15" hidden="false" customHeight="false" outlineLevel="0" collapsed="false">
      <c r="A4" s="3" t="s">
        <v>113</v>
      </c>
      <c r="B4" s="3" t="s">
        <v>114</v>
      </c>
      <c r="C4" s="3" t="s">
        <v>25</v>
      </c>
      <c r="D4" s="3" t="s">
        <v>85</v>
      </c>
      <c r="E4" s="3" t="s">
        <v>27</v>
      </c>
    </row>
    <row r="5" customFormat="false" ht="15" hidden="false" customHeight="false" outlineLevel="0" collapsed="false">
      <c r="A5" s="3" t="s">
        <v>37</v>
      </c>
      <c r="B5" s="3" t="s">
        <v>38</v>
      </c>
      <c r="C5" s="3" t="s">
        <v>39</v>
      </c>
      <c r="D5" s="3" t="s">
        <v>40</v>
      </c>
      <c r="E5" s="3" t="s">
        <v>39</v>
      </c>
    </row>
    <row r="6" customFormat="false" ht="15" hidden="false" customHeight="false" outlineLevel="0" collapsed="false">
      <c r="A6" s="3" t="s">
        <v>94</v>
      </c>
      <c r="B6" s="3" t="s">
        <v>95</v>
      </c>
      <c r="C6" s="3" t="s">
        <v>76</v>
      </c>
      <c r="D6" s="3" t="s">
        <v>96</v>
      </c>
      <c r="E6" s="3" t="s">
        <v>97</v>
      </c>
    </row>
    <row r="7" customFormat="false" ht="15" hidden="false" customHeight="false" outlineLevel="0" collapsed="false">
      <c r="A7" s="3" t="s">
        <v>23</v>
      </c>
      <c r="B7" s="3" t="s">
        <v>24</v>
      </c>
      <c r="C7" s="3" t="s">
        <v>25</v>
      </c>
      <c r="D7" s="3" t="s">
        <v>26</v>
      </c>
      <c r="E7" s="3" t="s">
        <v>27</v>
      </c>
    </row>
    <row r="8" customFormat="false" ht="15" hidden="false" customHeight="false" outlineLevel="0" collapsed="false">
      <c r="A8" s="3" t="s">
        <v>188</v>
      </c>
      <c r="B8" s="3" t="s">
        <v>189</v>
      </c>
      <c r="C8" s="3" t="s">
        <v>76</v>
      </c>
      <c r="D8" s="3" t="s">
        <v>85</v>
      </c>
      <c r="E8" s="3" t="s">
        <v>77</v>
      </c>
    </row>
    <row r="9" customFormat="false" ht="15" hidden="false" customHeight="false" outlineLevel="0" collapsed="false">
      <c r="A9" s="3" t="s">
        <v>83</v>
      </c>
      <c r="B9" s="3" t="s">
        <v>84</v>
      </c>
      <c r="C9" s="3" t="s">
        <v>76</v>
      </c>
      <c r="D9" s="3" t="s">
        <v>85</v>
      </c>
      <c r="E9" s="3" t="s">
        <v>86</v>
      </c>
    </row>
    <row r="10" customFormat="false" ht="15" hidden="false" customHeight="false" outlineLevel="0" collapsed="false">
      <c r="A10" s="3" t="s">
        <v>122</v>
      </c>
      <c r="B10" s="3" t="s">
        <v>123</v>
      </c>
      <c r="C10" s="3" t="s">
        <v>76</v>
      </c>
      <c r="D10" s="3" t="s">
        <v>124</v>
      </c>
      <c r="E10" s="3" t="s">
        <v>86</v>
      </c>
    </row>
    <row r="11" customFormat="false" ht="15" hidden="false" customHeight="false" outlineLevel="0" collapsed="false">
      <c r="A11" s="3" t="s">
        <v>50</v>
      </c>
      <c r="B11" s="3" t="s">
        <v>51</v>
      </c>
      <c r="C11" s="3" t="s">
        <v>25</v>
      </c>
      <c r="D11" s="3" t="s">
        <v>52</v>
      </c>
      <c r="E11" s="3" t="s">
        <v>27</v>
      </c>
    </row>
    <row r="12" customFormat="false" ht="15" hidden="false" customHeight="false" outlineLevel="0" collapsed="false">
      <c r="A12" s="3" t="s">
        <v>230</v>
      </c>
      <c r="B12" s="3" t="s">
        <v>231</v>
      </c>
      <c r="C12" s="3" t="s">
        <v>76</v>
      </c>
      <c r="D12" s="3" t="s">
        <v>232</v>
      </c>
      <c r="E12" s="3" t="s">
        <v>86</v>
      </c>
    </row>
    <row r="13" customFormat="false" ht="15" hidden="false" customHeight="false" outlineLevel="0" collapsed="false">
      <c r="A13" s="3" t="s">
        <v>173</v>
      </c>
      <c r="B13" s="3" t="s">
        <v>174</v>
      </c>
      <c r="C13" s="3" t="s">
        <v>76</v>
      </c>
      <c r="D13" s="3" t="s">
        <v>40</v>
      </c>
      <c r="E13" s="3" t="s">
        <v>97</v>
      </c>
    </row>
    <row r="14" customFormat="false" ht="15" hidden="false" customHeight="false" outlineLevel="0" collapsed="false">
      <c r="A14" s="3" t="s">
        <v>141</v>
      </c>
      <c r="B14" s="3" t="s">
        <v>142</v>
      </c>
      <c r="C14" s="3" t="s">
        <v>25</v>
      </c>
      <c r="D14" s="3" t="s">
        <v>143</v>
      </c>
      <c r="E14" s="3" t="s">
        <v>27</v>
      </c>
    </row>
    <row r="15" customFormat="false" ht="15" hidden="false" customHeight="false" outlineLevel="0" collapsed="false">
      <c r="A15" s="3" t="s">
        <v>151</v>
      </c>
      <c r="B15" s="3" t="s">
        <v>152</v>
      </c>
      <c r="C15" s="3" t="s">
        <v>76</v>
      </c>
      <c r="D15" s="3" t="s">
        <v>153</v>
      </c>
      <c r="E15" s="3" t="s">
        <v>86</v>
      </c>
    </row>
    <row r="16" customFormat="false" ht="15" hidden="false" customHeight="false" outlineLevel="0" collapsed="false">
      <c r="A16" s="3" t="s">
        <v>61</v>
      </c>
      <c r="B16" s="3" t="s">
        <v>62</v>
      </c>
      <c r="C16" s="3" t="s">
        <v>25</v>
      </c>
      <c r="D16" s="3" t="s">
        <v>63</v>
      </c>
      <c r="E16" s="3" t="s">
        <v>27</v>
      </c>
    </row>
    <row r="17" customFormat="false" ht="15" hidden="false" customHeight="false" outlineLevel="0" collapsed="false">
      <c r="A17" s="3" t="s">
        <v>156</v>
      </c>
      <c r="B17" s="3" t="s">
        <v>157</v>
      </c>
      <c r="C17" s="3" t="s">
        <v>76</v>
      </c>
      <c r="D17" s="3" t="s">
        <v>40</v>
      </c>
      <c r="E17" s="3" t="s">
        <v>77</v>
      </c>
    </row>
    <row r="18" customFormat="false" ht="15" hidden="false" customHeight="false" outlineLevel="0" collapsed="false">
      <c r="A18" s="3" t="s">
        <v>101</v>
      </c>
      <c r="B18" s="3" t="s">
        <v>102</v>
      </c>
      <c r="C18" s="3" t="s">
        <v>25</v>
      </c>
      <c r="D18" s="3" t="s">
        <v>40</v>
      </c>
      <c r="E18" s="3" t="s">
        <v>27</v>
      </c>
    </row>
    <row r="19" customFormat="false" ht="15" hidden="false" customHeight="false" outlineLevel="0" collapsed="false">
      <c r="A19" s="3" t="s">
        <v>165</v>
      </c>
      <c r="B19" s="3" t="s">
        <v>166</v>
      </c>
      <c r="C19" s="3" t="s">
        <v>76</v>
      </c>
      <c r="D19" s="3" t="s">
        <v>167</v>
      </c>
      <c r="E19" s="3" t="s">
        <v>86</v>
      </c>
    </row>
    <row r="20" customFormat="false" ht="15" hidden="false" customHeight="false" outlineLevel="0" collapsed="false">
      <c r="A20" s="3" t="s">
        <v>104</v>
      </c>
      <c r="B20" s="3" t="s">
        <v>105</v>
      </c>
      <c r="C20" s="3" t="s">
        <v>25</v>
      </c>
      <c r="D20" s="3" t="s">
        <v>106</v>
      </c>
      <c r="E20" s="3" t="s">
        <v>27</v>
      </c>
    </row>
    <row r="21" customFormat="false" ht="15" hidden="false" customHeight="false" outlineLevel="0" collapsed="false">
      <c r="A21" s="3" t="s">
        <v>74</v>
      </c>
      <c r="B21" s="3" t="s">
        <v>75</v>
      </c>
      <c r="C21" s="3" t="s">
        <v>76</v>
      </c>
      <c r="D21" s="3" t="s">
        <v>26</v>
      </c>
      <c r="E21" s="3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6" min="5" style="0" width="16"/>
  </cols>
  <sheetData>
    <row r="1" customFormat="false" ht="30" hidden="false" customHeight="true" outlineLevel="0" collapsed="false">
      <c r="A1" s="7" t="s">
        <v>488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8" t="s">
        <v>489</v>
      </c>
      <c r="B2" s="8"/>
      <c r="C2" s="8"/>
      <c r="D2" s="8"/>
      <c r="E2" s="8"/>
      <c r="F2" s="8"/>
    </row>
    <row r="4" customFormat="false" ht="15" hidden="false" customHeight="false" outlineLevel="0" collapsed="false">
      <c r="A4" s="9" t="s">
        <v>490</v>
      </c>
      <c r="B4" s="9"/>
      <c r="C4" s="9"/>
      <c r="D4" s="9"/>
      <c r="E4" s="9"/>
      <c r="F4" s="9"/>
    </row>
    <row r="5" customFormat="false" ht="15" hidden="false" customHeight="false" outlineLevel="0" collapsed="false">
      <c r="A5" s="1" t="s">
        <v>491</v>
      </c>
      <c r="B5" s="1" t="s">
        <v>492</v>
      </c>
    </row>
    <row r="6" customFormat="false" ht="15" hidden="false" customHeight="false" outlineLevel="0" collapsed="false">
      <c r="A6" s="10" t="s">
        <v>493</v>
      </c>
      <c r="B6" s="5" t="n">
        <f aca="false">SUM('Ventas Q1 2026'!U2:U336)</f>
        <v>5669882752</v>
      </c>
    </row>
    <row r="7" customFormat="false" ht="15" hidden="false" customHeight="false" outlineLevel="0" collapsed="false">
      <c r="A7" s="10" t="s">
        <v>494</v>
      </c>
      <c r="B7" s="5" t="n">
        <f aca="false">SUM('Ventas Q1 2026'!S2:S336)</f>
        <v>6131878100</v>
      </c>
    </row>
    <row r="8" customFormat="false" ht="15" hidden="false" customHeight="false" outlineLevel="0" collapsed="false">
      <c r="A8" s="10" t="s">
        <v>495</v>
      </c>
      <c r="B8" s="5" t="n">
        <f aca="false">SUM('Ventas Q1 2026'!T2:T336)</f>
        <v>461995348</v>
      </c>
    </row>
    <row r="9" customFormat="false" ht="15" hidden="false" customHeight="false" outlineLevel="0" collapsed="false">
      <c r="A9" s="10" t="s">
        <v>496</v>
      </c>
      <c r="B9" s="6" t="n">
        <f aca="false">SUM('Ventas Q1 2026'!T2:T336)/SUM('Ventas Q1 2026'!S2:S336)</f>
        <v>0.075343204882041</v>
      </c>
    </row>
    <row r="10" customFormat="false" ht="15" hidden="false" customHeight="false" outlineLevel="0" collapsed="false">
      <c r="A10" s="10" t="s">
        <v>497</v>
      </c>
      <c r="B10" s="4" t="n">
        <f aca="false">COUNTA('Ventas Q1 2026'!B2:B336)</f>
        <v>335</v>
      </c>
    </row>
    <row r="11" customFormat="false" ht="15" hidden="false" customHeight="false" outlineLevel="0" collapsed="false">
      <c r="A11" s="10" t="s">
        <v>498</v>
      </c>
      <c r="B11" s="5" t="n">
        <f aca="false">SUM('Ventas Q1 2026'!U2:U336)/COUNTA('Ventas Q1 2026'!B2:B336)</f>
        <v>16925023.1402985</v>
      </c>
    </row>
    <row r="12" customFormat="false" ht="15" hidden="false" customHeight="false" outlineLevel="0" collapsed="false">
      <c r="A12" s="10" t="s">
        <v>499</v>
      </c>
      <c r="B12" s="4" t="n">
        <f aca="false">SUM('Ventas Q1 2026'!O2:O336)</f>
        <v>79367</v>
      </c>
    </row>
    <row r="13" customFormat="false" ht="15" hidden="false" customHeight="false" outlineLevel="0" collapsed="false">
      <c r="A13" s="10" t="s">
        <v>500</v>
      </c>
      <c r="B13" s="4" t="n">
        <f aca="false">SUMPRODUCT(1/COUNTIF('Ventas Q1 2026'!C2:C336,'Ventas Q1 2026'!C2:C336))</f>
        <v>20</v>
      </c>
    </row>
    <row r="16" customFormat="false" ht="15" hidden="false" customHeight="false" outlineLevel="0" collapsed="false">
      <c r="A16" s="9" t="s">
        <v>501</v>
      </c>
      <c r="B16" s="9"/>
      <c r="C16" s="9"/>
      <c r="D16" s="9"/>
    </row>
    <row r="17" customFormat="false" ht="15" hidden="false" customHeight="false" outlineLevel="0" collapsed="false">
      <c r="A17" s="1" t="s">
        <v>502</v>
      </c>
      <c r="B17" s="1" t="s">
        <v>503</v>
      </c>
      <c r="C17" s="1" t="s">
        <v>504</v>
      </c>
      <c r="D17" s="1" t="s">
        <v>505</v>
      </c>
    </row>
    <row r="18" customFormat="false" ht="15" hidden="false" customHeight="false" outlineLevel="0" collapsed="false">
      <c r="A18" s="10" t="s">
        <v>506</v>
      </c>
      <c r="B18" s="5" t="n">
        <f aca="false">SUMIFS('Ventas Q1 2026'!U2:U336,'Ventas Q1 2026'!A2:A336,"&gt;="&amp;DATE(2026,1,1),'Ventas Q1 2026'!A2:A336,"&lt;="&amp;DATE(2026,1,31))</f>
        <v>1490937770</v>
      </c>
      <c r="C18" s="4" t="n">
        <f aca="false">COUNTIFS('Ventas Q1 2026'!A2:A336,"&gt;="&amp;DATE(2026,1,1),'Ventas Q1 2026'!A2:A336,"&lt;="&amp;DATE(2026,1,31))</f>
        <v>95</v>
      </c>
      <c r="D18" s="5" t="n">
        <f aca="false">B18/C18</f>
        <v>15694081.7894737</v>
      </c>
    </row>
    <row r="19" customFormat="false" ht="15" hidden="false" customHeight="false" outlineLevel="0" collapsed="false">
      <c r="A19" s="10" t="s">
        <v>507</v>
      </c>
      <c r="B19" s="5" t="n">
        <f aca="false">SUMIFS('Ventas Q1 2026'!U2:U336,'Ventas Q1 2026'!A2:A336,"&gt;="&amp;DATE(2026,2,1),'Ventas Q1 2026'!A2:A336,"&lt;="&amp;DATE(2026,2,28))</f>
        <v>2019252690</v>
      </c>
      <c r="C19" s="4" t="n">
        <f aca="false">COUNTIFS('Ventas Q1 2026'!A2:A336,"&gt;="&amp;DATE(2026,2,1),'Ventas Q1 2026'!A2:A336,"&lt;="&amp;DATE(2026,2,28))</f>
        <v>110</v>
      </c>
      <c r="D19" s="5" t="n">
        <f aca="false">B19/C19</f>
        <v>18356842.6363636</v>
      </c>
    </row>
    <row r="20" customFormat="false" ht="15" hidden="false" customHeight="false" outlineLevel="0" collapsed="false">
      <c r="A20" s="10" t="s">
        <v>508</v>
      </c>
      <c r="B20" s="5" t="n">
        <f aca="false">SUMIFS('Ventas Q1 2026'!U2:U336,'Ventas Q1 2026'!A2:A336,"&gt;="&amp;DATE(2026,3,1),'Ventas Q1 2026'!A2:A336,"&lt;="&amp;DATE(2026,3,31))</f>
        <v>2159692292</v>
      </c>
      <c r="C20" s="4" t="n">
        <f aca="false">COUNTIFS('Ventas Q1 2026'!A2:A336,"&gt;="&amp;DATE(2026,3,1),'Ventas Q1 2026'!A2:A336,"&lt;="&amp;DATE(2026,3,31))</f>
        <v>130</v>
      </c>
      <c r="D20" s="5" t="n">
        <f aca="false">B20/C20</f>
        <v>16613017.6307692</v>
      </c>
    </row>
    <row r="21" customFormat="false" ht="15" hidden="false" customHeight="false" outlineLevel="0" collapsed="false">
      <c r="A21" s="11" t="s">
        <v>509</v>
      </c>
      <c r="B21" s="12" t="n">
        <f aca="false">SUM(B18:B20)</f>
        <v>5669882752</v>
      </c>
      <c r="C21" s="13" t="n">
        <f aca="false">SUM(C18:C20)</f>
        <v>335</v>
      </c>
      <c r="D21" s="12" t="n">
        <f aca="false">B21/C21</f>
        <v>16925023.1402985</v>
      </c>
    </row>
    <row r="23" customFormat="false" ht="15" hidden="false" customHeight="false" outlineLevel="0" collapsed="false">
      <c r="A23" s="9" t="s">
        <v>510</v>
      </c>
      <c r="B23" s="9"/>
      <c r="C23" s="9"/>
    </row>
    <row r="24" customFormat="false" ht="15" hidden="false" customHeight="false" outlineLevel="0" collapsed="false">
      <c r="A24" s="1" t="s">
        <v>11</v>
      </c>
      <c r="B24" s="1" t="s">
        <v>503</v>
      </c>
      <c r="C24" s="1" t="s">
        <v>511</v>
      </c>
    </row>
    <row r="25" customFormat="false" ht="15" hidden="false" customHeight="false" outlineLevel="0" collapsed="false">
      <c r="A25" s="3" t="s">
        <v>57</v>
      </c>
      <c r="B25" s="14" t="n">
        <f aca="false">SUMIF('Ventas Q1 2026'!L2:L336,A25,'Ventas Q1 2026'!U2:U336)</f>
        <v>676260816</v>
      </c>
      <c r="C25" s="15" t="n">
        <f aca="false">SUMIF('Ventas Q1 2026'!L2:L336,A25,'Ventas Q1 2026'!O2:O336)</f>
        <v>13851</v>
      </c>
    </row>
    <row r="26" customFormat="false" ht="15" hidden="false" customHeight="false" outlineLevel="0" collapsed="false">
      <c r="A26" s="3" t="s">
        <v>145</v>
      </c>
      <c r="B26" s="14" t="n">
        <f aca="false">SUMIF('Ventas Q1 2026'!L2:L336,A26,'Ventas Q1 2026'!U2:U336)</f>
        <v>612882480</v>
      </c>
      <c r="C26" s="15" t="n">
        <f aca="false">SUMIF('Ventas Q1 2026'!L2:L336,A26,'Ventas Q1 2026'!O2:O336)</f>
        <v>7470</v>
      </c>
    </row>
    <row r="27" customFormat="false" ht="15" hidden="false" customHeight="false" outlineLevel="0" collapsed="false">
      <c r="A27" s="3" t="s">
        <v>129</v>
      </c>
      <c r="B27" s="14" t="n">
        <f aca="false">SUMIF('Ventas Q1 2026'!L2:L336,A27,'Ventas Q1 2026'!U2:U336)</f>
        <v>550463420</v>
      </c>
      <c r="C27" s="15" t="n">
        <f aca="false">SUMIF('Ventas Q1 2026'!L2:L336,A27,'Ventas Q1 2026'!O2:O336)</f>
        <v>7092</v>
      </c>
    </row>
    <row r="28" customFormat="false" ht="15" hidden="false" customHeight="false" outlineLevel="0" collapsed="false">
      <c r="A28" s="3" t="s">
        <v>72</v>
      </c>
      <c r="B28" s="14" t="n">
        <f aca="false">SUMIF('Ventas Q1 2026'!L2:L336,A28,'Ventas Q1 2026'!U2:U336)</f>
        <v>535448160</v>
      </c>
      <c r="C28" s="15" t="n">
        <f aca="false">SUMIF('Ventas Q1 2026'!L2:L336,A28,'Ventas Q1 2026'!O2:O336)</f>
        <v>3737</v>
      </c>
    </row>
    <row r="29" customFormat="false" ht="15" hidden="false" customHeight="false" outlineLevel="0" collapsed="false">
      <c r="A29" s="3" t="s">
        <v>193</v>
      </c>
      <c r="B29" s="14" t="n">
        <f aca="false">SUMIF('Ventas Q1 2026'!L2:L336,A29,'Ventas Q1 2026'!U2:U336)</f>
        <v>508658640</v>
      </c>
      <c r="C29" s="15" t="n">
        <f aca="false">SUMIF('Ventas Q1 2026'!L2:L336,A29,'Ventas Q1 2026'!O2:O336)</f>
        <v>3267</v>
      </c>
    </row>
    <row r="32" customFormat="false" ht="15" hidden="false" customHeight="false" outlineLevel="0" collapsed="false">
      <c r="A32" s="9" t="s">
        <v>512</v>
      </c>
      <c r="B32" s="9"/>
      <c r="C32" s="9"/>
    </row>
    <row r="33" customFormat="false" ht="15" hidden="false" customHeight="false" outlineLevel="0" collapsed="false">
      <c r="A33" s="1" t="s">
        <v>3</v>
      </c>
      <c r="B33" s="1" t="s">
        <v>503</v>
      </c>
      <c r="C33" s="1" t="s">
        <v>513</v>
      </c>
    </row>
    <row r="34" customFormat="false" ht="15" hidden="false" customHeight="false" outlineLevel="0" collapsed="false">
      <c r="A34" s="3" t="s">
        <v>189</v>
      </c>
      <c r="B34" s="14" t="n">
        <f aca="false">SUMIF('Ventas Q1 2026'!D2:D336,A34,'Ventas Q1 2026'!U2:U336)</f>
        <v>655182222</v>
      </c>
      <c r="C34" s="16" t="n">
        <f aca="false">B34/SUM('Ventas Q1 2026'!U2:U336)</f>
        <v>0.115554809624395</v>
      </c>
    </row>
    <row r="35" customFormat="false" ht="15" hidden="false" customHeight="false" outlineLevel="0" collapsed="false">
      <c r="A35" s="3" t="s">
        <v>84</v>
      </c>
      <c r="B35" s="14" t="n">
        <f aca="false">SUMIF('Ventas Q1 2026'!D2:D336,A35,'Ventas Q1 2026'!U2:U336)</f>
        <v>543260958</v>
      </c>
      <c r="C35" s="16" t="n">
        <f aca="false">B35/SUM('Ventas Q1 2026'!U2:U336)</f>
        <v>0.0958152014357563</v>
      </c>
    </row>
    <row r="36" customFormat="false" ht="15" hidden="false" customHeight="false" outlineLevel="0" collapsed="false">
      <c r="A36" s="3" t="s">
        <v>157</v>
      </c>
      <c r="B36" s="14" t="n">
        <f aca="false">SUMIF('Ventas Q1 2026'!D2:D336,A36,'Ventas Q1 2026'!U2:U336)</f>
        <v>472219387</v>
      </c>
      <c r="C36" s="16" t="n">
        <f aca="false">B36/SUM('Ventas Q1 2026'!U2:U336)</f>
        <v>0.083285564738253</v>
      </c>
    </row>
    <row r="37" customFormat="false" ht="15" hidden="false" customHeight="false" outlineLevel="0" collapsed="false">
      <c r="A37" s="3" t="s">
        <v>123</v>
      </c>
      <c r="B37" s="14" t="n">
        <f aca="false">SUMIF('Ventas Q1 2026'!D2:D336,A37,'Ventas Q1 2026'!U2:U336)</f>
        <v>434927488</v>
      </c>
      <c r="C37" s="16" t="n">
        <f aca="false">B37/SUM('Ventas Q1 2026'!U2:U336)</f>
        <v>0.0767083742334148</v>
      </c>
    </row>
    <row r="38" customFormat="false" ht="15" hidden="false" customHeight="false" outlineLevel="0" collapsed="false">
      <c r="A38" s="3" t="s">
        <v>38</v>
      </c>
      <c r="B38" s="14" t="n">
        <f aca="false">SUMIF('Ventas Q1 2026'!D2:D336,A38,'Ventas Q1 2026'!U2:U336)</f>
        <v>417579081</v>
      </c>
      <c r="C38" s="16" t="n">
        <f aca="false">B38/SUM('Ventas Q1 2026'!U2:U336)</f>
        <v>0.0736486271876967</v>
      </c>
    </row>
    <row r="41" customFormat="false" ht="15" hidden="false" customHeight="false" outlineLevel="0" collapsed="false">
      <c r="A41" s="9" t="s">
        <v>514</v>
      </c>
      <c r="B41" s="9"/>
      <c r="C41" s="9"/>
    </row>
    <row r="42" customFormat="false" ht="15" hidden="false" customHeight="false" outlineLevel="0" collapsed="false">
      <c r="A42" s="1" t="s">
        <v>21</v>
      </c>
      <c r="B42" s="1" t="s">
        <v>503</v>
      </c>
      <c r="C42" s="1" t="s">
        <v>513</v>
      </c>
    </row>
    <row r="43" customFormat="false" ht="15" hidden="false" customHeight="false" outlineLevel="0" collapsed="false">
      <c r="A43" s="10" t="s">
        <v>81</v>
      </c>
      <c r="B43" s="14" t="n">
        <f aca="false">SUMIF('Ventas Q1 2026'!V2:V336,A43,'Ventas Q1 2026'!U2:U336)</f>
        <v>4273941231</v>
      </c>
      <c r="C43" s="16" t="n">
        <f aca="false">B43/SUM('Ventas Q1 2026'!U2:U336)</f>
        <v>0.753797109736071</v>
      </c>
    </row>
    <row r="44" customFormat="false" ht="15" hidden="false" customHeight="false" outlineLevel="0" collapsed="false">
      <c r="A44" s="10" t="s">
        <v>35</v>
      </c>
      <c r="B44" s="14" t="n">
        <f aca="false">SUMIF('Ventas Q1 2026'!V2:V336,A44,'Ventas Q1 2026'!U2:U336)</f>
        <v>978362440</v>
      </c>
      <c r="C44" s="16" t="n">
        <f aca="false">B44/SUM('Ventas Q1 2026'!U2:U336)</f>
        <v>0.172554263076232</v>
      </c>
    </row>
    <row r="45" customFormat="false" ht="15" hidden="false" customHeight="false" outlineLevel="0" collapsed="false">
      <c r="A45" s="10" t="s">
        <v>39</v>
      </c>
      <c r="B45" s="14" t="n">
        <f aca="false">SUMIF('Ventas Q1 2026'!V2:V336,A45,'Ventas Q1 2026'!U2:U336)</f>
        <v>417579081</v>
      </c>
      <c r="C45" s="16" t="n">
        <f aca="false">B45/SUM('Ventas Q1 2026'!U2:U336)</f>
        <v>0.0736486271876967</v>
      </c>
    </row>
    <row r="48" customFormat="false" ht="15" hidden="false" customHeight="false" outlineLevel="0" collapsed="false">
      <c r="A48" s="9" t="s">
        <v>515</v>
      </c>
      <c r="B48" s="9"/>
      <c r="C48" s="9"/>
      <c r="D48" s="9"/>
    </row>
    <row r="49" customFormat="false" ht="15" hidden="false" customHeight="false" outlineLevel="0" collapsed="false">
      <c r="A49" s="1" t="s">
        <v>8</v>
      </c>
      <c r="B49" s="1" t="s">
        <v>503</v>
      </c>
      <c r="C49" s="1" t="s">
        <v>504</v>
      </c>
      <c r="D49" s="1" t="s">
        <v>516</v>
      </c>
    </row>
    <row r="50" customFormat="false" ht="15" hidden="false" customHeight="false" outlineLevel="0" collapsed="false">
      <c r="A50" s="3" t="s">
        <v>42</v>
      </c>
      <c r="B50" s="14" t="n">
        <f aca="false">SUMIF('Ventas Q1 2026'!I2:I336,A50,'Ventas Q1 2026'!U2:U336)</f>
        <v>427613215</v>
      </c>
      <c r="C50" s="15" t="n">
        <f aca="false">COUNTIF('Ventas Q1 2026'!I2:I336,A50)</f>
        <v>23</v>
      </c>
      <c r="D50" s="14" t="n">
        <f aca="false">IFERROR(B50/C50,0)</f>
        <v>18591878.9130435</v>
      </c>
    </row>
    <row r="51" customFormat="false" ht="15" hidden="false" customHeight="false" outlineLevel="0" collapsed="false">
      <c r="A51" s="3" t="s">
        <v>69</v>
      </c>
      <c r="B51" s="14" t="n">
        <f aca="false">SUMIF('Ventas Q1 2026'!I2:I336,A51,'Ventas Q1 2026'!U2:U336)</f>
        <v>491625907</v>
      </c>
      <c r="C51" s="15" t="n">
        <f aca="false">COUNTIF('Ventas Q1 2026'!I2:I336,A51)</f>
        <v>28</v>
      </c>
      <c r="D51" s="14" t="n">
        <f aca="false">IFERROR(B51/C51,0)</f>
        <v>17558068.1071429</v>
      </c>
    </row>
    <row r="52" customFormat="false" ht="15" hidden="false" customHeight="false" outlineLevel="0" collapsed="false">
      <c r="A52" s="3" t="s">
        <v>134</v>
      </c>
      <c r="B52" s="14" t="n">
        <f aca="false">SUMIF('Ventas Q1 2026'!I2:I336,A52,'Ventas Q1 2026'!U2:U336)</f>
        <v>300382638</v>
      </c>
      <c r="C52" s="15" t="n">
        <f aca="false">COUNTIF('Ventas Q1 2026'!I2:I336,A52)</f>
        <v>42</v>
      </c>
      <c r="D52" s="14" t="n">
        <f aca="false">IFERROR(B52/C52,0)</f>
        <v>7151967.57142857</v>
      </c>
    </row>
    <row r="53" customFormat="false" ht="15" hidden="false" customHeight="false" outlineLevel="0" collapsed="false">
      <c r="A53" s="3" t="s">
        <v>29</v>
      </c>
      <c r="B53" s="14" t="n">
        <f aca="false">SUMIF('Ventas Q1 2026'!I2:I336,A53,'Ventas Q1 2026'!U2:U336)</f>
        <v>293302106</v>
      </c>
      <c r="C53" s="15" t="n">
        <f aca="false">COUNTIF('Ventas Q1 2026'!I2:I336,A53)</f>
        <v>46</v>
      </c>
      <c r="D53" s="14" t="n">
        <f aca="false">IFERROR(B53/C53,0)</f>
        <v>6376132.73913044</v>
      </c>
    </row>
    <row r="54" customFormat="false" ht="15" hidden="false" customHeight="false" outlineLevel="0" collapsed="false">
      <c r="A54" s="3" t="s">
        <v>88</v>
      </c>
      <c r="B54" s="14" t="n">
        <f aca="false">SUMIF('Ventas Q1 2026'!I2:I336,A54,'Ventas Q1 2026'!U2:U336)</f>
        <v>1728415843</v>
      </c>
      <c r="C54" s="15" t="n">
        <f aca="false">COUNTIF('Ventas Q1 2026'!I2:I336,A54)</f>
        <v>62</v>
      </c>
      <c r="D54" s="14" t="n">
        <f aca="false">IFERROR(B54/C54,0)</f>
        <v>27877674.8870968</v>
      </c>
    </row>
    <row r="55" customFormat="false" ht="15" hidden="false" customHeight="false" outlineLevel="0" collapsed="false">
      <c r="A55" s="3" t="s">
        <v>79</v>
      </c>
      <c r="B55" s="14" t="n">
        <f aca="false">SUMIF('Ventas Q1 2026'!I2:I336,A55,'Ventas Q1 2026'!U2:U336)</f>
        <v>2043865347</v>
      </c>
      <c r="C55" s="15" t="n">
        <f aca="false">COUNTIF('Ventas Q1 2026'!I2:I336,A55)</f>
        <v>80</v>
      </c>
      <c r="D55" s="14" t="n">
        <f aca="false">IFERROR(B55/C55,0)</f>
        <v>25548316.8375</v>
      </c>
    </row>
    <row r="56" customFormat="false" ht="15" hidden="false" customHeight="false" outlineLevel="0" collapsed="false">
      <c r="A56" s="3" t="s">
        <v>54</v>
      </c>
      <c r="B56" s="14" t="n">
        <f aca="false">SUMIF('Ventas Q1 2026'!I2:I336,A56,'Ventas Q1 2026'!U2:U336)</f>
        <v>384677696</v>
      </c>
      <c r="C56" s="15" t="n">
        <f aca="false">COUNTIF('Ventas Q1 2026'!I2:I336,A56)</f>
        <v>54</v>
      </c>
      <c r="D56" s="14" t="n">
        <f aca="false">IFERROR(B56/C56,0)</f>
        <v>7123661.03703704</v>
      </c>
    </row>
    <row r="59" customFormat="false" ht="15" hidden="false" customHeight="false" outlineLevel="0" collapsed="false">
      <c r="A59" s="9" t="s">
        <v>517</v>
      </c>
      <c r="B59" s="9"/>
      <c r="C59" s="9"/>
    </row>
    <row r="60" customFormat="false" ht="15" hidden="false" customHeight="false" outlineLevel="0" collapsed="false">
      <c r="A60" s="1" t="s">
        <v>5</v>
      </c>
      <c r="B60" s="1" t="s">
        <v>503</v>
      </c>
      <c r="C60" s="1" t="s">
        <v>513</v>
      </c>
    </row>
    <row r="61" customFormat="false" ht="15" hidden="false" customHeight="false" outlineLevel="0" collapsed="false">
      <c r="A61" s="3" t="s">
        <v>52</v>
      </c>
      <c r="B61" s="14" t="n">
        <f aca="false">SUMIF('Ventas Q1 2026'!F2:F336,A61,'Ventas Q1 2026'!U2:U336)</f>
        <v>152491122</v>
      </c>
      <c r="C61" s="16" t="n">
        <f aca="false">B61/SUM('Ventas Q1 2026'!U2:U336)</f>
        <v>0.0268949339289618</v>
      </c>
    </row>
    <row r="62" customFormat="false" ht="15" hidden="false" customHeight="false" outlineLevel="0" collapsed="false">
      <c r="A62" s="3" t="s">
        <v>40</v>
      </c>
      <c r="B62" s="14" t="n">
        <f aca="false">SUMIF('Ventas Q1 2026'!F2:F336,A62,'Ventas Q1 2026'!U2:U336)</f>
        <v>1984908040</v>
      </c>
      <c r="C62" s="16" t="n">
        <f aca="false">B62/SUM('Ventas Q1 2026'!U2:U336)</f>
        <v>0.350079203895326</v>
      </c>
    </row>
    <row r="63" customFormat="false" ht="15" hidden="false" customHeight="false" outlineLevel="0" collapsed="false">
      <c r="A63" s="3" t="s">
        <v>96</v>
      </c>
      <c r="B63" s="14" t="n">
        <f aca="false">SUMIF('Ventas Q1 2026'!F2:F336,A63,'Ventas Q1 2026'!U2:U336)</f>
        <v>328350259</v>
      </c>
      <c r="C63" s="16" t="n">
        <f aca="false">B63/SUM('Ventas Q1 2026'!U2:U336)</f>
        <v>0.0579112961170454</v>
      </c>
    </row>
    <row r="64" customFormat="false" ht="15" hidden="false" customHeight="false" outlineLevel="0" collapsed="false">
      <c r="A64" s="3" t="s">
        <v>26</v>
      </c>
      <c r="B64" s="14" t="n">
        <f aca="false">SUMIF('Ventas Q1 2026'!F2:F336,A64,'Ventas Q1 2026'!U2:U336)</f>
        <v>343665566</v>
      </c>
      <c r="C64" s="16" t="n">
        <f aca="false">B64/SUM('Ventas Q1 2026'!U2:U336)</f>
        <v>0.0606124643192622</v>
      </c>
    </row>
    <row r="65" customFormat="false" ht="15" hidden="false" customHeight="false" outlineLevel="0" collapsed="false">
      <c r="A65" s="3" t="s">
        <v>153</v>
      </c>
      <c r="B65" s="14" t="n">
        <f aca="false">SUMIF('Ventas Q1 2026'!F2:F336,A65,'Ventas Q1 2026'!U2:U336)</f>
        <v>224938865</v>
      </c>
      <c r="C65" s="16" t="n">
        <f aca="false">B65/SUM('Ventas Q1 2026'!U2:U336)</f>
        <v>0.0396725778713246</v>
      </c>
    </row>
    <row r="66" customFormat="false" ht="15" hidden="false" customHeight="false" outlineLevel="0" collapsed="false">
      <c r="A66" s="3" t="s">
        <v>63</v>
      </c>
      <c r="B66" s="14" t="n">
        <f aca="false">SUMIF('Ventas Q1 2026'!F2:F336,A66,'Ventas Q1 2026'!U2:U336)</f>
        <v>73230915</v>
      </c>
      <c r="C66" s="16" t="n">
        <f aca="false">B66/SUM('Ventas Q1 2026'!U2:U336)</f>
        <v>0.0129157723718658</v>
      </c>
    </row>
    <row r="67" customFormat="false" ht="15" hidden="false" customHeight="false" outlineLevel="0" collapsed="false">
      <c r="A67" s="3" t="s">
        <v>85</v>
      </c>
      <c r="B67" s="14" t="n">
        <f aca="false">SUMIF('Ventas Q1 2026'!F2:F336,A67,'Ventas Q1 2026'!U2:U336)</f>
        <v>1384280744</v>
      </c>
      <c r="C67" s="16" t="n">
        <f aca="false">B67/SUM('Ventas Q1 2026'!U2:U336)</f>
        <v>0.244146273309039</v>
      </c>
    </row>
    <row r="68" customFormat="false" ht="15" hidden="false" customHeight="false" outlineLevel="0" collapsed="false">
      <c r="A68" s="3" t="s">
        <v>143</v>
      </c>
      <c r="B68" s="14" t="n">
        <f aca="false">SUMIF('Ventas Q1 2026'!F2:F336,A68,'Ventas Q1 2026'!U2:U336)</f>
        <v>54857870</v>
      </c>
      <c r="C68" s="16" t="n">
        <f aca="false">B68/SUM('Ventas Q1 2026'!U2:U336)</f>
        <v>0.00967530941987282</v>
      </c>
    </row>
    <row r="69" customFormat="false" ht="15" hidden="false" customHeight="false" outlineLevel="0" collapsed="false">
      <c r="A69" s="3" t="s">
        <v>167</v>
      </c>
      <c r="B69" s="14" t="n">
        <f aca="false">SUMIF('Ventas Q1 2026'!F2:F336,A69,'Ventas Q1 2026'!U2:U336)</f>
        <v>225853188</v>
      </c>
      <c r="C69" s="16" t="n">
        <f aca="false">B69/SUM('Ventas Q1 2026'!U2:U336)</f>
        <v>0.0398338374669798</v>
      </c>
    </row>
    <row r="70" customFormat="false" ht="15" hidden="false" customHeight="false" outlineLevel="0" collapsed="false">
      <c r="A70" s="3" t="s">
        <v>124</v>
      </c>
      <c r="B70" s="14" t="n">
        <f aca="false">SUMIF('Ventas Q1 2026'!F2:F336,A70,'Ventas Q1 2026'!U2:U336)</f>
        <v>434927488</v>
      </c>
      <c r="C70" s="16" t="n">
        <f aca="false">B70/SUM('Ventas Q1 2026'!U2:U336)</f>
        <v>0.0767083742334148</v>
      </c>
    </row>
    <row r="71" customFormat="false" ht="15" hidden="false" customHeight="false" outlineLevel="0" collapsed="false">
      <c r="A71" s="3" t="s">
        <v>106</v>
      </c>
      <c r="B71" s="14" t="n">
        <f aca="false">SUMIF('Ventas Q1 2026'!F2:F336,A71,'Ventas Q1 2026'!U2:U336)</f>
        <v>162943351</v>
      </c>
      <c r="C71" s="16" t="n">
        <f aca="false">B71/SUM('Ventas Q1 2026'!U2:U336)</f>
        <v>0.0287383986807352</v>
      </c>
    </row>
    <row r="72" customFormat="false" ht="15" hidden="false" customHeight="false" outlineLevel="0" collapsed="false">
      <c r="A72" s="3" t="s">
        <v>232</v>
      </c>
      <c r="B72" s="14" t="n">
        <f aca="false">SUMIF('Ventas Q1 2026'!F2:F336,A72,'Ventas Q1 2026'!U2:U336)</f>
        <v>299435344</v>
      </c>
      <c r="C72" s="16" t="n">
        <f aca="false">B72/SUM('Ventas Q1 2026'!U2:U336)</f>
        <v>0.0528115583861724</v>
      </c>
    </row>
    <row r="75" customFormat="false" ht="15" hidden="false" customHeight="false" outlineLevel="0" collapsed="false">
      <c r="A75" s="9" t="s">
        <v>518</v>
      </c>
      <c r="B75" s="9"/>
      <c r="C75" s="9"/>
    </row>
    <row r="76" customFormat="false" ht="15" hidden="false" customHeight="false" outlineLevel="0" collapsed="false">
      <c r="A76" s="1" t="s">
        <v>12</v>
      </c>
      <c r="B76" s="1" t="s">
        <v>503</v>
      </c>
      <c r="C76" s="1" t="s">
        <v>513</v>
      </c>
    </row>
    <row r="77" customFormat="false" ht="15" hidden="false" customHeight="false" outlineLevel="0" collapsed="false">
      <c r="A77" s="10" t="s">
        <v>33</v>
      </c>
      <c r="B77" s="14" t="n">
        <f aca="false">SUMIF('Ventas Q1 2026'!M2:M336,A77,'Ventas Q1 2026'!U2:U336)</f>
        <v>250082106</v>
      </c>
      <c r="C77" s="16" t="n">
        <f aca="false">B77/SUM('Ventas Q1 2026'!U2:U336)</f>
        <v>0.0441071036101736</v>
      </c>
    </row>
    <row r="78" customFormat="false" ht="15" hidden="false" customHeight="false" outlineLevel="0" collapsed="false">
      <c r="A78" s="10" t="s">
        <v>146</v>
      </c>
      <c r="B78" s="14" t="n">
        <f aca="false">SUMIF('Ventas Q1 2026'!M2:M336,A78,'Ventas Q1 2026'!U2:U336)</f>
        <v>612882480</v>
      </c>
      <c r="C78" s="16" t="n">
        <f aca="false">B78/SUM('Ventas Q1 2026'!U2:U336)</f>
        <v>0.108094383395108</v>
      </c>
    </row>
    <row r="79" customFormat="false" ht="15" hidden="false" customHeight="false" outlineLevel="0" collapsed="false">
      <c r="A79" s="10" t="s">
        <v>58</v>
      </c>
      <c r="B79" s="14" t="n">
        <f aca="false">SUMIF('Ventas Q1 2026'!M2:M336,A79,'Ventas Q1 2026'!U2:U336)</f>
        <v>1006316896</v>
      </c>
      <c r="C79" s="16" t="n">
        <f aca="false">B79/SUM('Ventas Q1 2026'!U2:U336)</f>
        <v>0.177484604182517</v>
      </c>
    </row>
    <row r="80" customFormat="false" ht="15" hidden="false" customHeight="false" outlineLevel="0" collapsed="false">
      <c r="A80" s="10" t="s">
        <v>110</v>
      </c>
      <c r="B80" s="14" t="n">
        <f aca="false">SUMIF('Ventas Q1 2026'!M2:M336,A80,'Ventas Q1 2026'!U2:U336)</f>
        <v>308641760</v>
      </c>
      <c r="C80" s="16" t="n">
        <f aca="false">B80/SUM('Ventas Q1 2026'!U2:U336)</f>
        <v>0.0544352984885145</v>
      </c>
    </row>
    <row r="81" customFormat="false" ht="15" hidden="false" customHeight="false" outlineLevel="0" collapsed="false">
      <c r="A81" s="10" t="s">
        <v>130</v>
      </c>
      <c r="B81" s="14" t="n">
        <f aca="false">SUMIF('Ventas Q1 2026'!M2:M336,A81,'Ventas Q1 2026'!U2:U336)</f>
        <v>1038528563</v>
      </c>
      <c r="C81" s="16" t="n">
        <f aca="false">B81/SUM('Ventas Q1 2026'!U2:U336)</f>
        <v>0.183165791679496</v>
      </c>
    </row>
    <row r="82" customFormat="false" ht="15" hidden="false" customHeight="false" outlineLevel="0" collapsed="false">
      <c r="A82" s="10" t="s">
        <v>46</v>
      </c>
      <c r="B82" s="14" t="n">
        <f aca="false">SUMIF('Ventas Q1 2026'!M2:M336,A82,'Ventas Q1 2026'!U2:U336)</f>
        <v>1730046950</v>
      </c>
      <c r="C82" s="16" t="n">
        <f aca="false">B82/SUM('Ventas Q1 2026'!U2:U336)</f>
        <v>0.305129228534707</v>
      </c>
    </row>
    <row r="83" customFormat="false" ht="15" hidden="false" customHeight="false" outlineLevel="0" collapsed="false">
      <c r="A83" s="10" t="s">
        <v>92</v>
      </c>
      <c r="B83" s="14" t="n">
        <f aca="false">SUMIF('Ventas Q1 2026'!M2:M336,A83,'Ventas Q1 2026'!U2:U336)</f>
        <v>723383997</v>
      </c>
      <c r="C83" s="16" t="n">
        <f aca="false">B83/SUM('Ventas Q1 2026'!U2:U336)</f>
        <v>0.127583590109484</v>
      </c>
    </row>
  </sheetData>
  <mergeCells count="10">
    <mergeCell ref="A1:F1"/>
    <mergeCell ref="A2:F2"/>
    <mergeCell ref="A4:F4"/>
    <mergeCell ref="A16:D16"/>
    <mergeCell ref="A23:C23"/>
    <mergeCell ref="A32:C32"/>
    <mergeCell ref="A41:C41"/>
    <mergeCell ref="A48:D48"/>
    <mergeCell ref="A59:C59"/>
    <mergeCell ref="A75:C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2026-04-26T22:27:23Z</dcterms:created>
  <dc:creator>openpyxl</dc:creator>
  <dc:description/>
  <dc:language>en-US</dc:language>
  <cp:lastModifiedBy/>
  <dcterms:modified xsi:type="dcterms:W3CDTF">2026-04-26T22:27:23Z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